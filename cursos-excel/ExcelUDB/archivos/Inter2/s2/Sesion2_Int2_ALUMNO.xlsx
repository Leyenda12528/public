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i unidad\Excel\EXCEL INTERMEDIO 2\SESION NO. 2\"/>
    </mc:Choice>
  </mc:AlternateContent>
  <xr:revisionPtr revIDLastSave="0" documentId="13_ncr:1_{2C59E308-967E-46BE-BF35-2C4FD06C8270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DATOS_PEDIDOS" sheetId="2" r:id="rId1"/>
    <sheet name="E1_BDSUMA_BDCONTAR" sheetId="3" r:id="rId2"/>
    <sheet name="E2_BDPROMEDIO_MAX_MIN" sheetId="4" r:id="rId3"/>
    <sheet name="E3_BDEXTRAER" sheetId="5" r:id="rId4"/>
    <sheet name="E4_Criterios_Multiples" sheetId="6" r:id="rId5"/>
    <sheet name="E5_Nombres_Rango" sheetId="7" r:id="rId6"/>
    <sheet name="E6_Esquema_Pedidos" sheetId="8" r:id="rId7"/>
    <sheet name="E7_Esquema_Ventas" sheetId="9" r:id="rId8"/>
    <sheet name="E8_Esquema_Manual" sheetId="10" r:id="rId9"/>
  </sheets>
  <definedNames>
    <definedName name="BDPEDIDOS">DATOS_PEDIDOS!$A$1:$H$181</definedName>
    <definedName name="Importes">DATOS_PEDIDOS!$G$2:$G$181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</calcChain>
</file>

<file path=xl/sharedStrings.xml><?xml version="1.0" encoding="utf-8"?>
<sst xmlns="http://schemas.openxmlformats.org/spreadsheetml/2006/main" count="1473" uniqueCount="185">
  <si>
    <t>Id. de pedido</t>
  </si>
  <si>
    <t>Cliente</t>
  </si>
  <si>
    <t>Fecha de pedido</t>
  </si>
  <si>
    <t>Fecha de entrega</t>
  </si>
  <si>
    <t>Forma de envío</t>
  </si>
  <si>
    <t>País de destinatario</t>
  </si>
  <si>
    <t>Importe</t>
  </si>
  <si>
    <t>Cargo</t>
  </si>
  <si>
    <t>LINO-Delicateses</t>
  </si>
  <si>
    <t>United Package</t>
  </si>
  <si>
    <t>Francia</t>
  </si>
  <si>
    <t>Blauer See Delikatessen</t>
  </si>
  <si>
    <t>Reino Unido</t>
  </si>
  <si>
    <t>GROSELLA-Restaurante</t>
  </si>
  <si>
    <t>Federal Shipping</t>
  </si>
  <si>
    <t>Rattlesnake Canyon Grocery</t>
  </si>
  <si>
    <t>Speedy Express</t>
  </si>
  <si>
    <t>México</t>
  </si>
  <si>
    <t>Brasil</t>
  </si>
  <si>
    <t>Bélgica</t>
  </si>
  <si>
    <t>Drachenblut Delikatessen</t>
  </si>
  <si>
    <t>Wellington Importadora</t>
  </si>
  <si>
    <t>Canadá</t>
  </si>
  <si>
    <t>Wartian Herkku</t>
  </si>
  <si>
    <t>Dinamarca</t>
  </si>
  <si>
    <t>Folk och fä HB</t>
  </si>
  <si>
    <t>Alemania</t>
  </si>
  <si>
    <t>LILA-Supermercado</t>
  </si>
  <si>
    <t>Piccolo und mehr</t>
  </si>
  <si>
    <t>Portugal</t>
  </si>
  <si>
    <t>Argentina</t>
  </si>
  <si>
    <t>Wilman Kala</t>
  </si>
  <si>
    <t>Tortuga Restaurante</t>
  </si>
  <si>
    <t>Hanari Carnes</t>
  </si>
  <si>
    <t>España</t>
  </si>
  <si>
    <t>Frankenversand</t>
  </si>
  <si>
    <t>Finlandia</t>
  </si>
  <si>
    <t>Königlich Essen</t>
  </si>
  <si>
    <t>Que Delícia</t>
  </si>
  <si>
    <t>Vins et alcools Chevalier</t>
  </si>
  <si>
    <t>El Salvador</t>
  </si>
  <si>
    <t>HILARIÓN-Abastos</t>
  </si>
  <si>
    <t>Austria</t>
  </si>
  <si>
    <t>Chop-suey Chinese</t>
  </si>
  <si>
    <t>Suiza</t>
  </si>
  <si>
    <t>Suecia</t>
  </si>
  <si>
    <t>Toms Spezialitäten</t>
  </si>
  <si>
    <t>Split Rail Beer &amp; Ale</t>
  </si>
  <si>
    <t>Vaffeljernet</t>
  </si>
  <si>
    <t>Italia</t>
  </si>
  <si>
    <t>Lehmanns Marktstand</t>
  </si>
  <si>
    <t>Venezuela</t>
  </si>
  <si>
    <t>Ottilies Käseladen</t>
  </si>
  <si>
    <t>QUICK-Stop</t>
  </si>
  <si>
    <t>Estados Unidos</t>
  </si>
  <si>
    <t>Richter Supermarkt</t>
  </si>
  <si>
    <t>Romero y tomillo</t>
  </si>
  <si>
    <t>Irlanda</t>
  </si>
  <si>
    <t>Victuailles en stock</t>
  </si>
  <si>
    <t>Ernst Handel</t>
  </si>
  <si>
    <t>Berglunds snabbköp</t>
  </si>
  <si>
    <t>Morgenstern Gesundkost</t>
  </si>
  <si>
    <t>Centro comercial Moctezuma</t>
  </si>
  <si>
    <t>Suprêmes délices</t>
  </si>
  <si>
    <t>Blondel père et fils</t>
  </si>
  <si>
    <t>White Clover Markets</t>
  </si>
  <si>
    <t>Ejercicio 1 — BDSUMA y BDCONTAR</t>
  </si>
  <si>
    <t>Usá el rango BDPEDIDOS (ya está definido). Cada bloque tiene su rango de criterios.</t>
  </si>
  <si>
    <t>(a) BDSUMA — Importe de pedidos Speedy Express con importe &gt; 300</t>
  </si>
  <si>
    <t>Criterio Y: ambas condiciones en la MISMA fila (fila 8). Observá que el encabezado de criterio es EXACTAMENTE igual al de la tabla.</t>
  </si>
  <si>
    <t>&gt;300</t>
  </si>
  <si>
    <t>Resultado =</t>
  </si>
  <si>
    <t>(b) BDCONTARA — Cantidad de pedidos del país Alemania</t>
  </si>
  <si>
    <t>OJO: usamos BDCONTARA (no BDCONTAR) porque el campo País es texto. BDCONTAR solo cuenta campos NUMÉRICOS.</t>
  </si>
  <si>
    <t>(c) BDSUMA — Suma del cargo total cuando el país es Brasil</t>
  </si>
  <si>
    <t>Ejercicio 2 — BDPROMEDIO, BDMAX, BDMIN</t>
  </si>
  <si>
    <t>Rango de datos: BDPEDIDOS. Cada caso tiene su propio rango de criterios.</t>
  </si>
  <si>
    <t>(a) BDPROMEDIO — Importe promedio de pedidos de Estados Unidos</t>
  </si>
  <si>
    <t>(b) BDMAX — Importe MÁXIMO entregado por United Package</t>
  </si>
  <si>
    <t>(c) BDMIN — Cargo MÍNIMO con fecha de pedido entre 01/06/2025 y 31/08/2025</t>
  </si>
  <si>
    <t>Rango DE FECHAS: dos columnas iguales con el mismo encabezado, cada una con un operador. Esto equivale a «&gt;=inicio Y &lt;=fin».</t>
  </si>
  <si>
    <t>&gt;=01/06/2025</t>
  </si>
  <si>
    <t>&lt;=31/08/2025</t>
  </si>
  <si>
    <t>Ejercicio 3 — BDEXTRAER (registro único)</t>
  </si>
  <si>
    <t>Buscá un ID de pedido y extraé datos relacionados. Ojo con los registros no únicos.</t>
  </si>
  <si>
    <t>Buscá el ID 10350 y extraé datos clave</t>
  </si>
  <si>
    <t>REGLAS DE ORO de BDEXTRAER:
• Si NINGÚN registro cumple → devuelve #¡VALOR!
• Si UN registro cumple → devuelve ese valor.
• Si MÁS de uno cumple → devuelve #¡NUM!
Por eso se usa con llaves ÚNICAS (código, ID, cédula…).</t>
  </si>
  <si>
    <t>Campo a extraer</t>
  </si>
  <si>
    <t>Resultado BDEXTRAER</t>
  </si>
  <si>
    <t>País</t>
  </si>
  <si>
    <t>Ejercicio 4 — Criterios múltiples (Y / O / Comodines)</t>
  </si>
  <si>
    <t>Rango de datos: BDPEDIDOS. Prestá atención a dónde va cada criterio.</t>
  </si>
  <si>
    <t>(a) BDCONTARA — Clientes cuyo nombre inicie con R o con V (criterio O)</t>
  </si>
  <si>
    <t>Criterio O: cada condición en UNA FILA distinta, bajo el mismo encabezado. El comodín * representa cualquier texto después.</t>
  </si>
  <si>
    <t>R*</t>
  </si>
  <si>
    <t>V*</t>
  </si>
  <si>
    <t>Cantidad =</t>
  </si>
  <si>
    <t>(b) BDSUMA — Importe de pedidos (Alemania Y Cargo≤50) O (España Y Cargo≤50)</t>
  </si>
  <si>
    <t>Combinación Y+O: cada fila es un «Y» y las filas se combinan con «O».</t>
  </si>
  <si>
    <t>&lt;=50</t>
  </si>
  <si>
    <t>Importe total =</t>
  </si>
  <si>
    <t>(c) BDCONTARA — Pedidos realizados en septiembre 2025</t>
  </si>
  <si>
    <t>&gt;=01/09/2025</t>
  </si>
  <si>
    <t>&lt;=30/09/2025</t>
  </si>
  <si>
    <t>(d) BDCONTARA — Clientes cuyo nombre termina en «y»</t>
  </si>
  <si>
    <t>Comodín * antes del texto = termina en… 
Comodín * después = empieza con…
Comodín ? = un solo carácter.</t>
  </si>
  <si>
    <t>*y</t>
  </si>
  <si>
    <t>Ejercicio 5 — Administrador de nombres y uso</t>
  </si>
  <si>
    <t>Ya existen los nombres BDPEDIDOS e Importes. Falta crear CargosTotales y usar los nombres.</t>
  </si>
  <si>
    <t>Nombres ya creados en este libro:</t>
  </si>
  <si>
    <t>• BDPEDIDOS → DATOS_PEDIDOS!A1:H181 (toda la tabla, con encabezados)</t>
  </si>
  <si>
    <t>• Importes → DATOS_PEDIDOS!G2:G181 (solo la columna G, sin encabezado)</t>
  </si>
  <si>
    <t>• CargosTotales → DEBES CREARLO vos: Fórmulas → Definir nombre → Nombre: CargosTotales, Rango: =DATOS_PEDIDOS!$H$2:$H$181</t>
  </si>
  <si>
    <t>Resumen usando SOLO nombres (sin referencias de celda)</t>
  </si>
  <si>
    <t>Concepto</t>
  </si>
  <si>
    <t>Fórmula con nombres</t>
  </si>
  <si>
    <t>Resultado</t>
  </si>
  <si>
    <t>Suma total de Importes</t>
  </si>
  <si>
    <t>Comparalo con escribir =SUMA(DATOS_PEDIDOS!G2:G181). Con nombres: más legible, menos errores y las fórmulas no se rompen si cambia la ubicación.</t>
  </si>
  <si>
    <t>Promedio de Importes</t>
  </si>
  <si>
    <t>Importe máximo</t>
  </si>
  <si>
    <t>Importe mínimo</t>
  </si>
  <si>
    <t>Cantidad de pedidos</t>
  </si>
  <si>
    <t>Suma total de Cargos</t>
  </si>
  <si>
    <t>Promedio de Cargos</t>
  </si>
  <si>
    <t>Verificación — abrí Fórmulas → Administrador de nombres</t>
  </si>
  <si>
    <t>Deberías ver 3 nombres: BDPEDIDOS, Importes y CargosTotales. Desde ahí podés editarlos, borrarlos o cambiar su alcance (Libro / Hoja).</t>
  </si>
  <si>
    <t>Ejercicio 6 — Subtotales automáticos por País</t>
  </si>
  <si>
    <t>Los datos ya están ORDENADOS por País de destinatario (requisito indispensable).</t>
  </si>
  <si>
    <t>Ejercicio 7 — Subtotales anidados por Región y Producto</t>
  </si>
  <si>
    <t>Datos ordenados por Región, luego por Producto. Aplicá dos niveles de subtotales.</t>
  </si>
  <si>
    <t>#</t>
  </si>
  <si>
    <t>Producto</t>
  </si>
  <si>
    <t>Año</t>
  </si>
  <si>
    <t>Mes</t>
  </si>
  <si>
    <t>Ventas</t>
  </si>
  <si>
    <t>Unidades</t>
  </si>
  <si>
    <t>Vendedor</t>
  </si>
  <si>
    <t>Región</t>
  </si>
  <si>
    <t>Arena</t>
  </si>
  <si>
    <t>May</t>
  </si>
  <si>
    <t>Martínez</t>
  </si>
  <si>
    <t>Este</t>
  </si>
  <si>
    <t>Feb</t>
  </si>
  <si>
    <t>González</t>
  </si>
  <si>
    <t>Dic</t>
  </si>
  <si>
    <t>Rodríguez</t>
  </si>
  <si>
    <t>Cal</t>
  </si>
  <si>
    <t>Mar</t>
  </si>
  <si>
    <t>Pérez</t>
  </si>
  <si>
    <t>Cemento</t>
  </si>
  <si>
    <t>Ago</t>
  </si>
  <si>
    <t>Oct</t>
  </si>
  <si>
    <t>Abr</t>
  </si>
  <si>
    <t>Grava</t>
  </si>
  <si>
    <t>Jun</t>
  </si>
  <si>
    <t>Álvarez</t>
  </si>
  <si>
    <t>Ene</t>
  </si>
  <si>
    <t>Norte</t>
  </si>
  <si>
    <t>Sep</t>
  </si>
  <si>
    <t>Jul</t>
  </si>
  <si>
    <t>Oeste</t>
  </si>
  <si>
    <t>Nov</t>
  </si>
  <si>
    <t>Sur</t>
  </si>
  <si>
    <t>Ejercicio 8 — Agrupar manual y Autoesquema</t>
  </si>
  <si>
    <t>Usá los datos de evaluación. Agrupá bloques manualmente, luego probá Autoesquema.</t>
  </si>
  <si>
    <t>Datos de evaluación — alumnos del semestre</t>
  </si>
  <si>
    <t>Tiempo (min)</t>
  </si>
  <si>
    <t>Puntos</t>
  </si>
  <si>
    <t>Sexo</t>
  </si>
  <si>
    <t>Edad</t>
  </si>
  <si>
    <t>Grupo</t>
  </si>
  <si>
    <t>Pasos manuales:
1) Seleccioná las filas 8:17 (Grupo A) → Datos → Agrupar → Filas.
2) Repetí para 18:27 (Grupo B) y 28:37 (Grupo C).
3) Usá los botones – y + del margen izquierdo para colapsar/expandir.
Luego probá: Datos → Agrupar → Autoesquema (Excel detecta los subtotales).
Para quitar todo: Datos → Desagrupar → Borrar esquema.</t>
  </si>
  <si>
    <t>f</t>
  </si>
  <si>
    <t>A</t>
  </si>
  <si>
    <t>m</t>
  </si>
  <si>
    <t>B</t>
  </si>
  <si>
    <t>C</t>
  </si>
  <si>
    <t>=@SUMA(Importes)</t>
  </si>
  <si>
    <t>=@PROMEDIO(Importes)</t>
  </si>
  <si>
    <t>=MAX(Importes)</t>
  </si>
  <si>
    <t>=MIN(Importes)</t>
  </si>
  <si>
    <t>=@CONTARA(Importes)</t>
  </si>
  <si>
    <t>=@SUMA(CargosTotales)</t>
  </si>
  <si>
    <t>=@PROMEDIO(CargosTotales)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</si>
</sst>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$&quot;#,##0.00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sz val="18"/>
      <color rgb="FF1E2761"/>
      <name val="Calibri"/>
      <family val="2"/>
    </font>
    <font>
      <i/>
      <sz val="11"/>
      <color rgb="FF5A6472"/>
      <name val="Calibri"/>
      <family val="2"/>
    </font>
    <font>
      <b/>
      <sz val="10"/>
      <color rgb="FFFFFFFF"/>
      <name val="Calibri"/>
      <family val="2"/>
    </font>
    <font>
      <b/>
      <sz val="12"/>
      <color rgb="FF1E2761"/>
      <name val="Calibri"/>
      <family val="2"/>
    </font>
    <font>
      <sz val="11"/>
      <color rgb="FF2B2F38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2B2F38"/>
      <name val="Calibri"/>
      <family val="2"/>
    </font>
    <font>
      <b/>
      <sz val="13"/>
      <color rgb="FF1E2761"/>
      <name val="Calibri"/>
      <family val="2"/>
    </font>
    <font>
      <b/>
      <sz val="11"/>
      <color rgb="FF1E2761"/>
      <name val="Calibri"/>
      <family val="2"/>
    </font>
    <font>
      <b/>
      <sz val="11"/>
      <color rgb="FF1E2761"/>
      <name val="Calibri"/>
      <family val="2"/>
    </font>
    <font>
      <b/>
      <sz val="11"/>
      <color rgb="FFDC2626"/>
      <name val="Calibri"/>
      <family val="2"/>
    </font>
    <font>
      <sz val="11"/>
      <color rgb="FF2E5EAA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2E5EAA"/>
      </patternFill>
    </fill>
    <fill>
      <patternFill patternType="solid">
        <fgColor rgb="FFFEF3C7"/>
      </patternFill>
    </fill>
    <fill>
      <patternFill patternType="solid">
        <fgColor rgb="FFDCE8F7"/>
      </patternFill>
    </fill>
    <fill>
      <patternFill patternType="solid">
        <fgColor rgb="FF4A90D9"/>
      </patternFill>
    </fill>
  </fills>
  <borders count="2">
    <border>
      <left/>
      <right/>
      <top/>
      <bottom/>
      <diagonal/>
    </border>
    <border>
      <left style="thin">
        <color rgb="FFC8CCD4"/>
      </left>
      <right style="thin">
        <color rgb="FFC8CCD4"/>
      </right>
      <top style="thin">
        <color rgb="FFC8CCD4"/>
      </top>
      <bottom style="thin">
        <color rgb="FFC8CCD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0" fontId="7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vertical="top" wrapText="1"/>
    </xf>
    <xf numFmtId="165" fontId="9" fillId="4" borderId="1" xfId="0" applyNumberFormat="1" applyFont="1" applyFill="1" applyBorder="1"/>
    <xf numFmtId="3" fontId="9" fillId="4" borderId="1" xfId="0" applyNumberFormat="1" applyFont="1" applyFill="1" applyBorder="1"/>
    <xf numFmtId="4" fontId="9" fillId="4" borderId="1" xfId="0" applyNumberFormat="1" applyFont="1" applyFill="1" applyBorder="1"/>
    <xf numFmtId="0" fontId="0" fillId="5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0" fillId="4" borderId="1" xfId="0" applyFont="1" applyFill="1" applyBorder="1"/>
    <xf numFmtId="165" fontId="10" fillId="4" borderId="1" xfId="0" applyNumberFormat="1" applyFont="1" applyFill="1" applyBorder="1"/>
    <xf numFmtId="0" fontId="9" fillId="4" borderId="1" xfId="0" applyFont="1" applyFill="1" applyBorder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1" xfId="0" applyBorder="1" applyAlignment="1">
      <alignment vertical="center"/>
    </xf>
    <xf numFmtId="3" fontId="10" fillId="4" borderId="1" xfId="0" applyNumberFormat="1" applyFont="1" applyFill="1" applyBorder="1"/>
    <xf numFmtId="4" fontId="10" fillId="4" borderId="1" xfId="0" applyNumberFormat="1" applyFont="1" applyFill="1" applyBorder="1"/>
    <xf numFmtId="3" fontId="0" fillId="0" borderId="1" xfId="0" applyNumberFormat="1" applyBorder="1"/>
    <xf numFmtId="166" fontId="0" fillId="0" borderId="1" xfId="0" applyNumberFormat="1" applyBorder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3" fillId="0" borderId="1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didos" displayName="TablaPedidos" ref="A1:H181">
  <autoFilter ref="A1:H181" xr:uid="{00000000-0009-0000-0100-000001000000}"/>
  <tableColumns count="8">
    <tableColumn id="1" xr3:uid="{00000000-0010-0000-0000-000001000000}" name="Id. de pedido"/>
    <tableColumn id="2" xr3:uid="{00000000-0010-0000-0000-000002000000}" name="Cliente"/>
    <tableColumn id="3" xr3:uid="{00000000-0010-0000-0000-000003000000}" name="Fecha de pedido"/>
    <tableColumn id="4" xr3:uid="{00000000-0010-0000-0000-000004000000}" name="Fecha de entrega"/>
    <tableColumn id="5" xr3:uid="{00000000-0010-0000-0000-000005000000}" name="Forma de envío"/>
    <tableColumn id="6" xr3:uid="{00000000-0010-0000-0000-000006000000}" name="País de destinatario"/>
    <tableColumn id="7" xr3:uid="{00000000-0010-0000-0000-000007000000}" name="Importe"/>
    <tableColumn id="8" xr3:uid="{00000000-0010-0000-0000-000008000000}" name="Car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1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9.109375" defaultRowHeight="14.4" x14ac:dyDescent="0.3"/>
  <cols>
    <col min="1" max="1" width="12" customWidth="1"/>
    <col min="2" max="2" width="32" customWidth="1"/>
    <col min="3" max="4" width="16" customWidth="1"/>
    <col min="5" max="5" width="20" customWidth="1"/>
    <col min="6" max="6" width="22" customWidth="1"/>
    <col min="7" max="8" width="12" customWidth="1"/>
  </cols>
  <sheetData>
    <row r="1" spans="1:8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6">
        <v>10248</v>
      </c>
      <c r="B2" s="6" t="s">
        <v>8</v>
      </c>
      <c r="C2" s="7">
        <v>45719</v>
      </c>
      <c r="D2" s="7">
        <v>45733</v>
      </c>
      <c r="E2" s="6" t="s">
        <v>9</v>
      </c>
      <c r="F2" s="6" t="s">
        <v>10</v>
      </c>
      <c r="G2" s="8">
        <v>99</v>
      </c>
      <c r="H2" s="9">
        <v>223.96</v>
      </c>
    </row>
    <row r="3" spans="1:8" x14ac:dyDescent="0.3">
      <c r="A3" s="6">
        <v>10249</v>
      </c>
      <c r="B3" s="6" t="s">
        <v>11</v>
      </c>
      <c r="C3" s="7">
        <v>45943</v>
      </c>
      <c r="D3" s="7">
        <v>45964</v>
      </c>
      <c r="E3" s="6" t="s">
        <v>9</v>
      </c>
      <c r="F3" s="6" t="s">
        <v>12</v>
      </c>
      <c r="G3" s="8">
        <v>99</v>
      </c>
      <c r="H3" s="9">
        <v>3.13</v>
      </c>
    </row>
    <row r="4" spans="1:8" x14ac:dyDescent="0.3">
      <c r="A4" s="6">
        <v>10250</v>
      </c>
      <c r="B4" s="6" t="s">
        <v>13</v>
      </c>
      <c r="C4" s="7">
        <v>45700</v>
      </c>
      <c r="D4" s="7">
        <v>45707</v>
      </c>
      <c r="E4" s="6" t="s">
        <v>14</v>
      </c>
      <c r="F4" s="6" t="s">
        <v>12</v>
      </c>
      <c r="G4" s="8">
        <v>23</v>
      </c>
      <c r="H4" s="9">
        <v>204.15</v>
      </c>
    </row>
    <row r="5" spans="1:8" x14ac:dyDescent="0.3">
      <c r="A5" s="6">
        <v>10251</v>
      </c>
      <c r="B5" s="6" t="s">
        <v>15</v>
      </c>
      <c r="C5" s="7">
        <v>45910</v>
      </c>
      <c r="D5" s="7">
        <v>45924</v>
      </c>
      <c r="E5" s="6" t="s">
        <v>16</v>
      </c>
      <c r="F5" s="6" t="s">
        <v>17</v>
      </c>
      <c r="G5" s="8">
        <v>445</v>
      </c>
      <c r="H5" s="9">
        <v>245.03</v>
      </c>
    </row>
    <row r="6" spans="1:8" x14ac:dyDescent="0.3">
      <c r="A6" s="6">
        <v>10252</v>
      </c>
      <c r="B6" s="6" t="s">
        <v>8</v>
      </c>
      <c r="C6" s="7">
        <v>45841</v>
      </c>
      <c r="D6" s="7">
        <v>45862</v>
      </c>
      <c r="E6" s="6" t="s">
        <v>9</v>
      </c>
      <c r="F6" s="6" t="s">
        <v>18</v>
      </c>
      <c r="G6" s="8">
        <v>345</v>
      </c>
      <c r="H6" s="9">
        <v>24.69</v>
      </c>
    </row>
    <row r="7" spans="1:8" x14ac:dyDescent="0.3">
      <c r="A7" s="6">
        <v>10253</v>
      </c>
      <c r="B7" s="6" t="s">
        <v>13</v>
      </c>
      <c r="C7" s="7">
        <v>45934</v>
      </c>
      <c r="D7" s="7">
        <v>45948</v>
      </c>
      <c r="E7" s="6" t="s">
        <v>16</v>
      </c>
      <c r="F7" s="6" t="s">
        <v>19</v>
      </c>
      <c r="G7" s="8">
        <v>1250</v>
      </c>
      <c r="H7" s="9">
        <v>78.98</v>
      </c>
    </row>
    <row r="8" spans="1:8" x14ac:dyDescent="0.3">
      <c r="A8" s="6">
        <v>10254</v>
      </c>
      <c r="B8" s="6" t="s">
        <v>20</v>
      </c>
      <c r="C8" s="7">
        <v>45847</v>
      </c>
      <c r="D8" s="7">
        <v>45861</v>
      </c>
      <c r="E8" s="6" t="s">
        <v>16</v>
      </c>
      <c r="F8" s="6" t="s">
        <v>18</v>
      </c>
      <c r="G8" s="8">
        <v>466</v>
      </c>
      <c r="H8" s="9">
        <v>223.01</v>
      </c>
    </row>
    <row r="9" spans="1:8" x14ac:dyDescent="0.3">
      <c r="A9" s="6">
        <v>10255</v>
      </c>
      <c r="B9" s="6" t="s">
        <v>21</v>
      </c>
      <c r="C9" s="7">
        <v>45942</v>
      </c>
      <c r="D9" s="7">
        <v>45963</v>
      </c>
      <c r="E9" s="6" t="s">
        <v>16</v>
      </c>
      <c r="F9" s="6" t="s">
        <v>22</v>
      </c>
      <c r="G9" s="8">
        <v>1500</v>
      </c>
      <c r="H9" s="9">
        <v>219.17</v>
      </c>
    </row>
    <row r="10" spans="1:8" x14ac:dyDescent="0.3">
      <c r="A10" s="6">
        <v>10256</v>
      </c>
      <c r="B10" s="6" t="s">
        <v>23</v>
      </c>
      <c r="C10" s="7">
        <v>45862</v>
      </c>
      <c r="D10" s="7">
        <v>45890</v>
      </c>
      <c r="E10" s="6" t="s">
        <v>16</v>
      </c>
      <c r="F10" s="6" t="s">
        <v>24</v>
      </c>
      <c r="G10" s="8">
        <v>789</v>
      </c>
      <c r="H10" s="9">
        <v>129.44999999999999</v>
      </c>
    </row>
    <row r="11" spans="1:8" x14ac:dyDescent="0.3">
      <c r="A11" s="6">
        <v>10257</v>
      </c>
      <c r="B11" s="6" t="s">
        <v>25</v>
      </c>
      <c r="C11" s="7">
        <v>45671</v>
      </c>
      <c r="D11" s="7">
        <v>45699</v>
      </c>
      <c r="E11" s="6" t="s">
        <v>14</v>
      </c>
      <c r="F11" s="6" t="s">
        <v>26</v>
      </c>
      <c r="G11" s="8">
        <v>987</v>
      </c>
      <c r="H11" s="9">
        <v>221.99</v>
      </c>
    </row>
    <row r="12" spans="1:8" x14ac:dyDescent="0.3">
      <c r="A12" s="6">
        <v>10258</v>
      </c>
      <c r="B12" s="6" t="s">
        <v>27</v>
      </c>
      <c r="C12" s="7">
        <v>45711</v>
      </c>
      <c r="D12" s="7">
        <v>45739</v>
      </c>
      <c r="E12" s="6" t="s">
        <v>16</v>
      </c>
      <c r="F12" s="6" t="s">
        <v>19</v>
      </c>
      <c r="G12" s="8">
        <v>789</v>
      </c>
      <c r="H12" s="9">
        <v>221.37</v>
      </c>
    </row>
    <row r="13" spans="1:8" x14ac:dyDescent="0.3">
      <c r="A13" s="6">
        <v>10259</v>
      </c>
      <c r="B13" s="6" t="s">
        <v>28</v>
      </c>
      <c r="C13" s="7">
        <v>45721</v>
      </c>
      <c r="D13" s="7">
        <v>45742</v>
      </c>
      <c r="E13" s="6" t="s">
        <v>9</v>
      </c>
      <c r="F13" s="6" t="s">
        <v>29</v>
      </c>
      <c r="G13" s="8">
        <v>112</v>
      </c>
      <c r="H13" s="9">
        <v>141.05000000000001</v>
      </c>
    </row>
    <row r="14" spans="1:8" x14ac:dyDescent="0.3">
      <c r="A14" s="6">
        <v>10260</v>
      </c>
      <c r="B14" s="6" t="s">
        <v>8</v>
      </c>
      <c r="C14" s="7">
        <v>45816</v>
      </c>
      <c r="D14" s="7">
        <v>45844</v>
      </c>
      <c r="E14" s="6" t="s">
        <v>9</v>
      </c>
      <c r="F14" s="6" t="s">
        <v>30</v>
      </c>
      <c r="G14" s="8">
        <v>466</v>
      </c>
      <c r="H14" s="9">
        <v>109.68</v>
      </c>
    </row>
    <row r="15" spans="1:8" x14ac:dyDescent="0.3">
      <c r="A15" s="6">
        <v>10261</v>
      </c>
      <c r="B15" s="6" t="s">
        <v>31</v>
      </c>
      <c r="C15" s="7">
        <v>45809</v>
      </c>
      <c r="D15" s="7">
        <v>45823</v>
      </c>
      <c r="E15" s="6" t="s">
        <v>14</v>
      </c>
      <c r="F15" s="6" t="s">
        <v>19</v>
      </c>
      <c r="G15" s="8">
        <v>1500</v>
      </c>
      <c r="H15" s="9">
        <v>240.27</v>
      </c>
    </row>
    <row r="16" spans="1:8" x14ac:dyDescent="0.3">
      <c r="A16" s="6">
        <v>10262</v>
      </c>
      <c r="B16" s="6" t="s">
        <v>32</v>
      </c>
      <c r="C16" s="7">
        <v>45926</v>
      </c>
      <c r="D16" s="7">
        <v>45947</v>
      </c>
      <c r="E16" s="6" t="s">
        <v>14</v>
      </c>
      <c r="F16" s="6" t="s">
        <v>17</v>
      </c>
      <c r="G16" s="8">
        <v>789</v>
      </c>
      <c r="H16" s="9">
        <v>118</v>
      </c>
    </row>
    <row r="17" spans="1:8" x14ac:dyDescent="0.3">
      <c r="A17" s="6">
        <v>10263</v>
      </c>
      <c r="B17" s="6" t="s">
        <v>33</v>
      </c>
      <c r="C17" s="7">
        <v>45913</v>
      </c>
      <c r="D17" s="7">
        <v>45934</v>
      </c>
      <c r="E17" s="6" t="s">
        <v>16</v>
      </c>
      <c r="F17" s="6" t="s">
        <v>34</v>
      </c>
      <c r="G17" s="8">
        <v>667</v>
      </c>
      <c r="H17" s="9">
        <v>229.41</v>
      </c>
    </row>
    <row r="18" spans="1:8" x14ac:dyDescent="0.3">
      <c r="A18" s="6">
        <v>10264</v>
      </c>
      <c r="B18" s="6" t="s">
        <v>8</v>
      </c>
      <c r="C18" s="7">
        <v>45709</v>
      </c>
      <c r="D18" s="7">
        <v>45730</v>
      </c>
      <c r="E18" s="6" t="s">
        <v>16</v>
      </c>
      <c r="F18" s="6" t="s">
        <v>12</v>
      </c>
      <c r="G18" s="8">
        <v>76</v>
      </c>
      <c r="H18" s="9">
        <v>241.9</v>
      </c>
    </row>
    <row r="19" spans="1:8" x14ac:dyDescent="0.3">
      <c r="A19" s="6">
        <v>10265</v>
      </c>
      <c r="B19" s="6" t="s">
        <v>35</v>
      </c>
      <c r="C19" s="7">
        <v>45904</v>
      </c>
      <c r="D19" s="7">
        <v>45911</v>
      </c>
      <c r="E19" s="6" t="s">
        <v>16</v>
      </c>
      <c r="F19" s="6" t="s">
        <v>36</v>
      </c>
      <c r="G19" s="8">
        <v>56</v>
      </c>
      <c r="H19" s="9">
        <v>50.66</v>
      </c>
    </row>
    <row r="20" spans="1:8" x14ac:dyDescent="0.3">
      <c r="A20" s="6">
        <v>10266</v>
      </c>
      <c r="B20" s="6" t="s">
        <v>37</v>
      </c>
      <c r="C20" s="7">
        <v>45869</v>
      </c>
      <c r="D20" s="7">
        <v>45879</v>
      </c>
      <c r="E20" s="6" t="s">
        <v>14</v>
      </c>
      <c r="F20" s="6" t="s">
        <v>18</v>
      </c>
      <c r="G20" s="8">
        <v>23</v>
      </c>
      <c r="H20" s="9">
        <v>114.18</v>
      </c>
    </row>
    <row r="21" spans="1:8" x14ac:dyDescent="0.3">
      <c r="A21" s="6">
        <v>10267</v>
      </c>
      <c r="B21" s="6" t="s">
        <v>38</v>
      </c>
      <c r="C21" s="7">
        <v>45938</v>
      </c>
      <c r="D21" s="7">
        <v>45945</v>
      </c>
      <c r="E21" s="6" t="s">
        <v>14</v>
      </c>
      <c r="F21" s="6" t="s">
        <v>10</v>
      </c>
      <c r="G21" s="8">
        <v>1500</v>
      </c>
      <c r="H21" s="9">
        <v>13.55</v>
      </c>
    </row>
    <row r="22" spans="1:8" x14ac:dyDescent="0.3">
      <c r="A22" s="6">
        <v>10268</v>
      </c>
      <c r="B22" s="6" t="s">
        <v>39</v>
      </c>
      <c r="C22" s="7">
        <v>45938</v>
      </c>
      <c r="D22" s="7">
        <v>45952</v>
      </c>
      <c r="E22" s="6" t="s">
        <v>14</v>
      </c>
      <c r="F22" s="6" t="s">
        <v>40</v>
      </c>
      <c r="G22" s="8">
        <v>345</v>
      </c>
      <c r="H22" s="9">
        <v>166.98</v>
      </c>
    </row>
    <row r="23" spans="1:8" x14ac:dyDescent="0.3">
      <c r="A23" s="6">
        <v>10269</v>
      </c>
      <c r="B23" s="6" t="s">
        <v>41</v>
      </c>
      <c r="C23" s="7">
        <v>45953</v>
      </c>
      <c r="D23" s="7">
        <v>45974</v>
      </c>
      <c r="E23" s="6" t="s">
        <v>9</v>
      </c>
      <c r="F23" s="6" t="s">
        <v>42</v>
      </c>
      <c r="G23" s="8">
        <v>789</v>
      </c>
      <c r="H23" s="9">
        <v>148.01</v>
      </c>
    </row>
    <row r="24" spans="1:8" x14ac:dyDescent="0.3">
      <c r="A24" s="6">
        <v>10270</v>
      </c>
      <c r="B24" s="6" t="s">
        <v>43</v>
      </c>
      <c r="C24" s="7">
        <v>45917</v>
      </c>
      <c r="D24" s="7">
        <v>45931</v>
      </c>
      <c r="E24" s="6" t="s">
        <v>16</v>
      </c>
      <c r="F24" s="6" t="s">
        <v>44</v>
      </c>
      <c r="G24" s="8">
        <v>66</v>
      </c>
      <c r="H24" s="9">
        <v>196.4</v>
      </c>
    </row>
    <row r="25" spans="1:8" x14ac:dyDescent="0.3">
      <c r="A25" s="6">
        <v>10271</v>
      </c>
      <c r="B25" s="6" t="s">
        <v>8</v>
      </c>
      <c r="C25" s="7">
        <v>45959</v>
      </c>
      <c r="D25" s="7">
        <v>45973</v>
      </c>
      <c r="E25" s="6" t="s">
        <v>16</v>
      </c>
      <c r="F25" s="6" t="s">
        <v>45</v>
      </c>
      <c r="G25" s="8">
        <v>66</v>
      </c>
      <c r="H25" s="9">
        <v>131.21</v>
      </c>
    </row>
    <row r="26" spans="1:8" x14ac:dyDescent="0.3">
      <c r="A26" s="6">
        <v>10272</v>
      </c>
      <c r="B26" s="6" t="s">
        <v>31</v>
      </c>
      <c r="C26" s="7">
        <v>45759</v>
      </c>
      <c r="D26" s="7">
        <v>45780</v>
      </c>
      <c r="E26" s="6" t="s">
        <v>14</v>
      </c>
      <c r="F26" s="6" t="s">
        <v>45</v>
      </c>
      <c r="G26" s="8">
        <v>44</v>
      </c>
      <c r="H26" s="9">
        <v>15.22</v>
      </c>
    </row>
    <row r="27" spans="1:8" x14ac:dyDescent="0.3">
      <c r="A27" s="6">
        <v>10273</v>
      </c>
      <c r="B27" s="6" t="s">
        <v>46</v>
      </c>
      <c r="C27" s="7">
        <v>45836</v>
      </c>
      <c r="D27" s="7">
        <v>45850</v>
      </c>
      <c r="E27" s="6" t="s">
        <v>14</v>
      </c>
      <c r="F27" s="6" t="s">
        <v>22</v>
      </c>
      <c r="G27" s="8">
        <v>789</v>
      </c>
      <c r="H27" s="9">
        <v>83.62</v>
      </c>
    </row>
    <row r="28" spans="1:8" x14ac:dyDescent="0.3">
      <c r="A28" s="6">
        <v>10274</v>
      </c>
      <c r="B28" s="6" t="s">
        <v>47</v>
      </c>
      <c r="C28" s="7">
        <v>45814</v>
      </c>
      <c r="D28" s="7">
        <v>45835</v>
      </c>
      <c r="E28" s="6" t="s">
        <v>14</v>
      </c>
      <c r="F28" s="6" t="s">
        <v>30</v>
      </c>
      <c r="G28" s="8">
        <v>667</v>
      </c>
      <c r="H28" s="9">
        <v>143.97999999999999</v>
      </c>
    </row>
    <row r="29" spans="1:8" x14ac:dyDescent="0.3">
      <c r="A29" s="6">
        <v>10275</v>
      </c>
      <c r="B29" s="6" t="s">
        <v>48</v>
      </c>
      <c r="C29" s="7">
        <v>45746</v>
      </c>
      <c r="D29" s="7">
        <v>45756</v>
      </c>
      <c r="E29" s="6" t="s">
        <v>14</v>
      </c>
      <c r="F29" s="6" t="s">
        <v>49</v>
      </c>
      <c r="G29" s="8">
        <v>1500</v>
      </c>
      <c r="H29" s="9">
        <v>85.76</v>
      </c>
    </row>
    <row r="30" spans="1:8" x14ac:dyDescent="0.3">
      <c r="A30" s="6">
        <v>10276</v>
      </c>
      <c r="B30" s="6" t="s">
        <v>50</v>
      </c>
      <c r="C30" s="7">
        <v>45778</v>
      </c>
      <c r="D30" s="7">
        <v>45785</v>
      </c>
      <c r="E30" s="6" t="s">
        <v>14</v>
      </c>
      <c r="F30" s="6" t="s">
        <v>51</v>
      </c>
      <c r="G30" s="8">
        <v>76</v>
      </c>
      <c r="H30" s="9">
        <v>13.7</v>
      </c>
    </row>
    <row r="31" spans="1:8" x14ac:dyDescent="0.3">
      <c r="A31" s="6">
        <v>10277</v>
      </c>
      <c r="B31" s="6" t="s">
        <v>37</v>
      </c>
      <c r="C31" s="7">
        <v>45937</v>
      </c>
      <c r="D31" s="7">
        <v>45944</v>
      </c>
      <c r="E31" s="6" t="s">
        <v>9</v>
      </c>
      <c r="F31" s="6" t="s">
        <v>51</v>
      </c>
      <c r="G31" s="8">
        <v>789</v>
      </c>
      <c r="H31" s="9">
        <v>178.46</v>
      </c>
    </row>
    <row r="32" spans="1:8" x14ac:dyDescent="0.3">
      <c r="A32" s="6">
        <v>10278</v>
      </c>
      <c r="B32" s="6" t="s">
        <v>48</v>
      </c>
      <c r="C32" s="7">
        <v>45669</v>
      </c>
      <c r="D32" s="7">
        <v>45679</v>
      </c>
      <c r="E32" s="6" t="s">
        <v>14</v>
      </c>
      <c r="F32" s="6" t="s">
        <v>22</v>
      </c>
      <c r="G32" s="8">
        <v>66</v>
      </c>
      <c r="H32" s="9">
        <v>42.2</v>
      </c>
    </row>
    <row r="33" spans="1:8" x14ac:dyDescent="0.3">
      <c r="A33" s="6">
        <v>10279</v>
      </c>
      <c r="B33" s="6" t="s">
        <v>35</v>
      </c>
      <c r="C33" s="7">
        <v>45754</v>
      </c>
      <c r="D33" s="7">
        <v>45775</v>
      </c>
      <c r="E33" s="6" t="s">
        <v>16</v>
      </c>
      <c r="F33" s="6" t="s">
        <v>29</v>
      </c>
      <c r="G33" s="8">
        <v>569</v>
      </c>
      <c r="H33" s="9">
        <v>217.34</v>
      </c>
    </row>
    <row r="34" spans="1:8" x14ac:dyDescent="0.3">
      <c r="A34" s="6">
        <v>10280</v>
      </c>
      <c r="B34" s="6" t="s">
        <v>52</v>
      </c>
      <c r="C34" s="7">
        <v>45855</v>
      </c>
      <c r="D34" s="7">
        <v>45869</v>
      </c>
      <c r="E34" s="6" t="s">
        <v>16</v>
      </c>
      <c r="F34" s="6" t="s">
        <v>44</v>
      </c>
      <c r="G34" s="8">
        <v>112</v>
      </c>
      <c r="H34" s="9">
        <v>117.32</v>
      </c>
    </row>
    <row r="35" spans="1:8" x14ac:dyDescent="0.3">
      <c r="A35" s="6">
        <v>10281</v>
      </c>
      <c r="B35" s="6" t="s">
        <v>20</v>
      </c>
      <c r="C35" s="7">
        <v>45871</v>
      </c>
      <c r="D35" s="7">
        <v>45885</v>
      </c>
      <c r="E35" s="6" t="s">
        <v>14</v>
      </c>
      <c r="F35" s="6" t="s">
        <v>34</v>
      </c>
      <c r="G35" s="8">
        <v>987</v>
      </c>
      <c r="H35" s="9">
        <v>121.81</v>
      </c>
    </row>
    <row r="36" spans="1:8" x14ac:dyDescent="0.3">
      <c r="A36" s="6">
        <v>10282</v>
      </c>
      <c r="B36" s="6" t="s">
        <v>48</v>
      </c>
      <c r="C36" s="7">
        <v>45720</v>
      </c>
      <c r="D36" s="7">
        <v>45748</v>
      </c>
      <c r="E36" s="6" t="s">
        <v>16</v>
      </c>
      <c r="F36" s="6" t="s">
        <v>10</v>
      </c>
      <c r="G36" s="8">
        <v>88</v>
      </c>
      <c r="H36" s="9">
        <v>59.76</v>
      </c>
    </row>
    <row r="37" spans="1:8" x14ac:dyDescent="0.3">
      <c r="A37" s="6">
        <v>10283</v>
      </c>
      <c r="B37" s="6" t="s">
        <v>53</v>
      </c>
      <c r="C37" s="7">
        <v>45706</v>
      </c>
      <c r="D37" s="7">
        <v>45727</v>
      </c>
      <c r="E37" s="6" t="s">
        <v>16</v>
      </c>
      <c r="F37" s="6" t="s">
        <v>29</v>
      </c>
      <c r="G37" s="8">
        <v>76</v>
      </c>
      <c r="H37" s="9">
        <v>240.4</v>
      </c>
    </row>
    <row r="38" spans="1:8" x14ac:dyDescent="0.3">
      <c r="A38" s="6">
        <v>10284</v>
      </c>
      <c r="B38" s="6" t="s">
        <v>39</v>
      </c>
      <c r="C38" s="7">
        <v>45839</v>
      </c>
      <c r="D38" s="7">
        <v>45849</v>
      </c>
      <c r="E38" s="6" t="s">
        <v>9</v>
      </c>
      <c r="F38" s="6" t="s">
        <v>24</v>
      </c>
      <c r="G38" s="8">
        <v>1000</v>
      </c>
      <c r="H38" s="9">
        <v>56.09</v>
      </c>
    </row>
    <row r="39" spans="1:8" x14ac:dyDescent="0.3">
      <c r="A39" s="6">
        <v>10285</v>
      </c>
      <c r="B39" s="6" t="s">
        <v>15</v>
      </c>
      <c r="C39" s="7">
        <v>45802</v>
      </c>
      <c r="D39" s="7">
        <v>45830</v>
      </c>
      <c r="E39" s="6" t="s">
        <v>9</v>
      </c>
      <c r="F39" s="6" t="s">
        <v>54</v>
      </c>
      <c r="G39" s="8">
        <v>1250</v>
      </c>
      <c r="H39" s="9">
        <v>68.849999999999994</v>
      </c>
    </row>
    <row r="40" spans="1:8" x14ac:dyDescent="0.3">
      <c r="A40" s="6">
        <v>10286</v>
      </c>
      <c r="B40" s="6" t="s">
        <v>55</v>
      </c>
      <c r="C40" s="7">
        <v>45943</v>
      </c>
      <c r="D40" s="7">
        <v>45953</v>
      </c>
      <c r="E40" s="6" t="s">
        <v>16</v>
      </c>
      <c r="F40" s="6" t="s">
        <v>10</v>
      </c>
      <c r="G40" s="8">
        <v>569</v>
      </c>
      <c r="H40" s="9">
        <v>44.89</v>
      </c>
    </row>
    <row r="41" spans="1:8" x14ac:dyDescent="0.3">
      <c r="A41" s="6">
        <v>10287</v>
      </c>
      <c r="B41" s="6" t="s">
        <v>52</v>
      </c>
      <c r="C41" s="7">
        <v>45689</v>
      </c>
      <c r="D41" s="7">
        <v>45703</v>
      </c>
      <c r="E41" s="6" t="s">
        <v>9</v>
      </c>
      <c r="F41" s="6" t="s">
        <v>10</v>
      </c>
      <c r="G41" s="8">
        <v>987</v>
      </c>
      <c r="H41" s="9">
        <v>80.099999999999994</v>
      </c>
    </row>
    <row r="42" spans="1:8" x14ac:dyDescent="0.3">
      <c r="A42" s="6">
        <v>10288</v>
      </c>
      <c r="B42" s="6" t="s">
        <v>47</v>
      </c>
      <c r="C42" s="7">
        <v>45691</v>
      </c>
      <c r="D42" s="7">
        <v>45705</v>
      </c>
      <c r="E42" s="6" t="s">
        <v>14</v>
      </c>
      <c r="F42" s="6" t="s">
        <v>17</v>
      </c>
      <c r="G42" s="8">
        <v>112</v>
      </c>
      <c r="H42" s="9">
        <v>18.059999999999999</v>
      </c>
    </row>
    <row r="43" spans="1:8" x14ac:dyDescent="0.3">
      <c r="A43" s="6">
        <v>10289</v>
      </c>
      <c r="B43" s="6" t="s">
        <v>56</v>
      </c>
      <c r="C43" s="7">
        <v>45869</v>
      </c>
      <c r="D43" s="7">
        <v>45883</v>
      </c>
      <c r="E43" s="6" t="s">
        <v>14</v>
      </c>
      <c r="F43" s="6" t="s">
        <v>26</v>
      </c>
      <c r="G43" s="8">
        <v>56</v>
      </c>
      <c r="H43" s="9">
        <v>60.72</v>
      </c>
    </row>
    <row r="44" spans="1:8" x14ac:dyDescent="0.3">
      <c r="A44" s="6">
        <v>10290</v>
      </c>
      <c r="B44" s="6" t="s">
        <v>55</v>
      </c>
      <c r="C44" s="7">
        <v>45817</v>
      </c>
      <c r="D44" s="7">
        <v>45824</v>
      </c>
      <c r="E44" s="6" t="s">
        <v>9</v>
      </c>
      <c r="F44" s="6" t="s">
        <v>29</v>
      </c>
      <c r="G44" s="8">
        <v>1250</v>
      </c>
      <c r="H44" s="9">
        <v>247.05</v>
      </c>
    </row>
    <row r="45" spans="1:8" x14ac:dyDescent="0.3">
      <c r="A45" s="6">
        <v>10291</v>
      </c>
      <c r="B45" s="6" t="s">
        <v>20</v>
      </c>
      <c r="C45" s="7">
        <v>45838</v>
      </c>
      <c r="D45" s="7">
        <v>45852</v>
      </c>
      <c r="E45" s="6" t="s">
        <v>9</v>
      </c>
      <c r="F45" s="6" t="s">
        <v>57</v>
      </c>
      <c r="G45" s="8">
        <v>34</v>
      </c>
      <c r="H45" s="9">
        <v>231.37</v>
      </c>
    </row>
    <row r="46" spans="1:8" x14ac:dyDescent="0.3">
      <c r="A46" s="6">
        <v>10292</v>
      </c>
      <c r="B46" s="6" t="s">
        <v>15</v>
      </c>
      <c r="C46" s="7">
        <v>45820</v>
      </c>
      <c r="D46" s="7">
        <v>45848</v>
      </c>
      <c r="E46" s="6" t="s">
        <v>9</v>
      </c>
      <c r="F46" s="6" t="s">
        <v>12</v>
      </c>
      <c r="G46" s="8">
        <v>569</v>
      </c>
      <c r="H46" s="9">
        <v>244.83</v>
      </c>
    </row>
    <row r="47" spans="1:8" x14ac:dyDescent="0.3">
      <c r="A47" s="6">
        <v>10293</v>
      </c>
      <c r="B47" s="6" t="s">
        <v>8</v>
      </c>
      <c r="C47" s="7">
        <v>45720</v>
      </c>
      <c r="D47" s="7">
        <v>45734</v>
      </c>
      <c r="E47" s="6" t="s">
        <v>9</v>
      </c>
      <c r="F47" s="6" t="s">
        <v>17</v>
      </c>
      <c r="G47" s="8">
        <v>466</v>
      </c>
      <c r="H47" s="9">
        <v>74.739999999999995</v>
      </c>
    </row>
    <row r="48" spans="1:8" x14ac:dyDescent="0.3">
      <c r="A48" s="6">
        <v>10294</v>
      </c>
      <c r="B48" s="6" t="s">
        <v>27</v>
      </c>
      <c r="C48" s="7">
        <v>45841</v>
      </c>
      <c r="D48" s="7">
        <v>45848</v>
      </c>
      <c r="E48" s="6" t="s">
        <v>14</v>
      </c>
      <c r="F48" s="6" t="s">
        <v>54</v>
      </c>
      <c r="G48" s="8">
        <v>345</v>
      </c>
      <c r="H48" s="9">
        <v>74.17</v>
      </c>
    </row>
    <row r="49" spans="1:8" x14ac:dyDescent="0.3">
      <c r="A49" s="6">
        <v>10295</v>
      </c>
      <c r="B49" s="6" t="s">
        <v>56</v>
      </c>
      <c r="C49" s="7">
        <v>45721</v>
      </c>
      <c r="D49" s="7">
        <v>45735</v>
      </c>
      <c r="E49" s="6" t="s">
        <v>16</v>
      </c>
      <c r="F49" s="6" t="s">
        <v>24</v>
      </c>
      <c r="G49" s="8">
        <v>23</v>
      </c>
      <c r="H49" s="9">
        <v>136.68</v>
      </c>
    </row>
    <row r="50" spans="1:8" x14ac:dyDescent="0.3">
      <c r="A50" s="6">
        <v>10296</v>
      </c>
      <c r="B50" s="6" t="s">
        <v>58</v>
      </c>
      <c r="C50" s="7">
        <v>45834</v>
      </c>
      <c r="D50" s="7">
        <v>45844</v>
      </c>
      <c r="E50" s="6" t="s">
        <v>9</v>
      </c>
      <c r="F50" s="6" t="s">
        <v>10</v>
      </c>
      <c r="G50" s="8">
        <v>76</v>
      </c>
      <c r="H50" s="9">
        <v>155.69999999999999</v>
      </c>
    </row>
    <row r="51" spans="1:8" x14ac:dyDescent="0.3">
      <c r="A51" s="6">
        <v>10297</v>
      </c>
      <c r="B51" s="6" t="s">
        <v>41</v>
      </c>
      <c r="C51" s="7">
        <v>45719</v>
      </c>
      <c r="D51" s="7">
        <v>45726</v>
      </c>
      <c r="E51" s="6" t="s">
        <v>9</v>
      </c>
      <c r="F51" s="6" t="s">
        <v>36</v>
      </c>
      <c r="G51" s="8">
        <v>1500</v>
      </c>
      <c r="H51" s="9">
        <v>162.85</v>
      </c>
    </row>
    <row r="52" spans="1:8" x14ac:dyDescent="0.3">
      <c r="A52" s="6">
        <v>10298</v>
      </c>
      <c r="B52" s="6" t="s">
        <v>27</v>
      </c>
      <c r="C52" s="7">
        <v>45813</v>
      </c>
      <c r="D52" s="7">
        <v>45820</v>
      </c>
      <c r="E52" s="6" t="s">
        <v>9</v>
      </c>
      <c r="F52" s="6" t="s">
        <v>19</v>
      </c>
      <c r="G52" s="8">
        <v>445</v>
      </c>
      <c r="H52" s="9">
        <v>105.29</v>
      </c>
    </row>
    <row r="53" spans="1:8" x14ac:dyDescent="0.3">
      <c r="A53" s="6">
        <v>10299</v>
      </c>
      <c r="B53" s="6" t="s">
        <v>56</v>
      </c>
      <c r="C53" s="7">
        <v>45852</v>
      </c>
      <c r="D53" s="7">
        <v>45862</v>
      </c>
      <c r="E53" s="6" t="s">
        <v>9</v>
      </c>
      <c r="F53" s="6" t="s">
        <v>42</v>
      </c>
      <c r="G53" s="8">
        <v>66</v>
      </c>
      <c r="H53" s="9">
        <v>47.91</v>
      </c>
    </row>
    <row r="54" spans="1:8" x14ac:dyDescent="0.3">
      <c r="A54" s="6">
        <v>10300</v>
      </c>
      <c r="B54" s="6" t="s">
        <v>50</v>
      </c>
      <c r="C54" s="7">
        <v>45673</v>
      </c>
      <c r="D54" s="7">
        <v>45701</v>
      </c>
      <c r="E54" s="6" t="s">
        <v>16</v>
      </c>
      <c r="F54" s="6" t="s">
        <v>19</v>
      </c>
      <c r="G54" s="8">
        <v>99</v>
      </c>
      <c r="H54" s="9">
        <v>8.2799999999999994</v>
      </c>
    </row>
    <row r="55" spans="1:8" x14ac:dyDescent="0.3">
      <c r="A55" s="6">
        <v>10301</v>
      </c>
      <c r="B55" s="6" t="s">
        <v>28</v>
      </c>
      <c r="C55" s="7">
        <v>45800</v>
      </c>
      <c r="D55" s="7">
        <v>45828</v>
      </c>
      <c r="E55" s="6" t="s">
        <v>16</v>
      </c>
      <c r="F55" s="6" t="s">
        <v>17</v>
      </c>
      <c r="G55" s="8">
        <v>345</v>
      </c>
      <c r="H55" s="9">
        <v>36.82</v>
      </c>
    </row>
    <row r="56" spans="1:8" x14ac:dyDescent="0.3">
      <c r="A56" s="6">
        <v>10302</v>
      </c>
      <c r="B56" s="6" t="s">
        <v>33</v>
      </c>
      <c r="C56" s="7">
        <v>45704</v>
      </c>
      <c r="D56" s="7">
        <v>45714</v>
      </c>
      <c r="E56" s="6" t="s">
        <v>9</v>
      </c>
      <c r="F56" s="6" t="s">
        <v>22</v>
      </c>
      <c r="G56" s="8">
        <v>112</v>
      </c>
      <c r="H56" s="9">
        <v>86.83</v>
      </c>
    </row>
    <row r="57" spans="1:8" x14ac:dyDescent="0.3">
      <c r="A57" s="6">
        <v>10303</v>
      </c>
      <c r="B57" s="6" t="s">
        <v>58</v>
      </c>
      <c r="C57" s="7">
        <v>45925</v>
      </c>
      <c r="D57" s="7">
        <v>45939</v>
      </c>
      <c r="E57" s="6" t="s">
        <v>9</v>
      </c>
      <c r="F57" s="6" t="s">
        <v>40</v>
      </c>
      <c r="G57" s="8">
        <v>99</v>
      </c>
      <c r="H57" s="9">
        <v>118.96</v>
      </c>
    </row>
    <row r="58" spans="1:8" x14ac:dyDescent="0.3">
      <c r="A58" s="6">
        <v>10304</v>
      </c>
      <c r="B58" s="6" t="s">
        <v>59</v>
      </c>
      <c r="C58" s="7">
        <v>45772</v>
      </c>
      <c r="D58" s="7">
        <v>45800</v>
      </c>
      <c r="E58" s="6" t="s">
        <v>9</v>
      </c>
      <c r="F58" s="6" t="s">
        <v>45</v>
      </c>
      <c r="G58" s="8">
        <v>445</v>
      </c>
      <c r="H58" s="9">
        <v>237.87</v>
      </c>
    </row>
    <row r="59" spans="1:8" x14ac:dyDescent="0.3">
      <c r="A59" s="6">
        <v>10305</v>
      </c>
      <c r="B59" s="6" t="s">
        <v>35</v>
      </c>
      <c r="C59" s="7">
        <v>45778</v>
      </c>
      <c r="D59" s="7">
        <v>45806</v>
      </c>
      <c r="E59" s="6" t="s">
        <v>16</v>
      </c>
      <c r="F59" s="6" t="s">
        <v>51</v>
      </c>
      <c r="G59" s="8">
        <v>445</v>
      </c>
      <c r="H59" s="9">
        <v>91.38</v>
      </c>
    </row>
    <row r="60" spans="1:8" x14ac:dyDescent="0.3">
      <c r="A60" s="6">
        <v>10306</v>
      </c>
      <c r="B60" s="6" t="s">
        <v>28</v>
      </c>
      <c r="C60" s="7">
        <v>45893</v>
      </c>
      <c r="D60" s="7">
        <v>45921</v>
      </c>
      <c r="E60" s="6" t="s">
        <v>9</v>
      </c>
      <c r="F60" s="6" t="s">
        <v>24</v>
      </c>
      <c r="G60" s="8">
        <v>123</v>
      </c>
      <c r="H60" s="9">
        <v>49.01</v>
      </c>
    </row>
    <row r="61" spans="1:8" x14ac:dyDescent="0.3">
      <c r="A61" s="6">
        <v>10307</v>
      </c>
      <c r="B61" s="6" t="s">
        <v>11</v>
      </c>
      <c r="C61" s="7">
        <v>45869</v>
      </c>
      <c r="D61" s="7">
        <v>45879</v>
      </c>
      <c r="E61" s="6" t="s">
        <v>14</v>
      </c>
      <c r="F61" s="6" t="s">
        <v>36</v>
      </c>
      <c r="G61" s="8">
        <v>987</v>
      </c>
      <c r="H61" s="9">
        <v>176.33</v>
      </c>
    </row>
    <row r="62" spans="1:8" x14ac:dyDescent="0.3">
      <c r="A62" s="6">
        <v>10308</v>
      </c>
      <c r="B62" s="6" t="s">
        <v>43</v>
      </c>
      <c r="C62" s="7">
        <v>45678</v>
      </c>
      <c r="D62" s="7">
        <v>45688</v>
      </c>
      <c r="E62" s="6" t="s">
        <v>16</v>
      </c>
      <c r="F62" s="6" t="s">
        <v>36</v>
      </c>
      <c r="G62" s="8">
        <v>1000</v>
      </c>
      <c r="H62" s="9">
        <v>183.42</v>
      </c>
    </row>
    <row r="63" spans="1:8" x14ac:dyDescent="0.3">
      <c r="A63" s="6">
        <v>10309</v>
      </c>
      <c r="B63" s="6" t="s">
        <v>46</v>
      </c>
      <c r="C63" s="7">
        <v>45729</v>
      </c>
      <c r="D63" s="7">
        <v>45736</v>
      </c>
      <c r="E63" s="6" t="s">
        <v>9</v>
      </c>
      <c r="F63" s="6" t="s">
        <v>51</v>
      </c>
      <c r="G63" s="8">
        <v>1250</v>
      </c>
      <c r="H63" s="9">
        <v>78.41</v>
      </c>
    </row>
    <row r="64" spans="1:8" x14ac:dyDescent="0.3">
      <c r="A64" s="6">
        <v>10310</v>
      </c>
      <c r="B64" s="6" t="s">
        <v>60</v>
      </c>
      <c r="C64" s="7">
        <v>45681</v>
      </c>
      <c r="D64" s="7">
        <v>45702</v>
      </c>
      <c r="E64" s="6" t="s">
        <v>9</v>
      </c>
      <c r="F64" s="6" t="s">
        <v>22</v>
      </c>
      <c r="G64" s="8">
        <v>76</v>
      </c>
      <c r="H64" s="9">
        <v>241.38</v>
      </c>
    </row>
    <row r="65" spans="1:8" x14ac:dyDescent="0.3">
      <c r="A65" s="6">
        <v>10311</v>
      </c>
      <c r="B65" s="6" t="s">
        <v>59</v>
      </c>
      <c r="C65" s="7">
        <v>45712</v>
      </c>
      <c r="D65" s="7">
        <v>45719</v>
      </c>
      <c r="E65" s="6" t="s">
        <v>9</v>
      </c>
      <c r="F65" s="6" t="s">
        <v>45</v>
      </c>
      <c r="G65" s="8">
        <v>345</v>
      </c>
      <c r="H65" s="9">
        <v>138</v>
      </c>
    </row>
    <row r="66" spans="1:8" x14ac:dyDescent="0.3">
      <c r="A66" s="6">
        <v>10312</v>
      </c>
      <c r="B66" s="6" t="s">
        <v>38</v>
      </c>
      <c r="C66" s="7">
        <v>45817</v>
      </c>
      <c r="D66" s="7">
        <v>45824</v>
      </c>
      <c r="E66" s="6" t="s">
        <v>14</v>
      </c>
      <c r="F66" s="6" t="s">
        <v>54</v>
      </c>
      <c r="G66" s="8">
        <v>123</v>
      </c>
      <c r="H66" s="9">
        <v>136.44</v>
      </c>
    </row>
    <row r="67" spans="1:8" x14ac:dyDescent="0.3">
      <c r="A67" s="6">
        <v>10313</v>
      </c>
      <c r="B67" s="6" t="s">
        <v>60</v>
      </c>
      <c r="C67" s="7">
        <v>45841</v>
      </c>
      <c r="D67" s="7">
        <v>45851</v>
      </c>
      <c r="E67" s="6" t="s">
        <v>14</v>
      </c>
      <c r="F67" s="6" t="s">
        <v>40</v>
      </c>
      <c r="G67" s="8">
        <v>1500</v>
      </c>
      <c r="H67" s="9">
        <v>162.83000000000001</v>
      </c>
    </row>
    <row r="68" spans="1:8" x14ac:dyDescent="0.3">
      <c r="A68" s="6">
        <v>10314</v>
      </c>
      <c r="B68" s="6" t="s">
        <v>61</v>
      </c>
      <c r="C68" s="7">
        <v>45875</v>
      </c>
      <c r="D68" s="7">
        <v>45889</v>
      </c>
      <c r="E68" s="6" t="s">
        <v>14</v>
      </c>
      <c r="F68" s="6" t="s">
        <v>22</v>
      </c>
      <c r="G68" s="8">
        <v>23</v>
      </c>
      <c r="H68" s="9">
        <v>46.96</v>
      </c>
    </row>
    <row r="69" spans="1:8" x14ac:dyDescent="0.3">
      <c r="A69" s="6">
        <v>10315</v>
      </c>
      <c r="B69" s="6" t="s">
        <v>62</v>
      </c>
      <c r="C69" s="7">
        <v>45935</v>
      </c>
      <c r="D69" s="7">
        <v>45945</v>
      </c>
      <c r="E69" s="6" t="s">
        <v>14</v>
      </c>
      <c r="F69" s="6" t="s">
        <v>10</v>
      </c>
      <c r="G69" s="8">
        <v>987</v>
      </c>
      <c r="H69" s="9">
        <v>167.76</v>
      </c>
    </row>
    <row r="70" spans="1:8" x14ac:dyDescent="0.3">
      <c r="A70" s="6">
        <v>10316</v>
      </c>
      <c r="B70" s="6" t="s">
        <v>63</v>
      </c>
      <c r="C70" s="7">
        <v>45660</v>
      </c>
      <c r="D70" s="7">
        <v>45674</v>
      </c>
      <c r="E70" s="6" t="s">
        <v>16</v>
      </c>
      <c r="F70" s="6" t="s">
        <v>54</v>
      </c>
      <c r="G70" s="8">
        <v>88</v>
      </c>
      <c r="H70" s="9">
        <v>134.19999999999999</v>
      </c>
    </row>
    <row r="71" spans="1:8" x14ac:dyDescent="0.3">
      <c r="A71" s="6">
        <v>10317</v>
      </c>
      <c r="B71" s="6" t="s">
        <v>55</v>
      </c>
      <c r="C71" s="7">
        <v>45786</v>
      </c>
      <c r="D71" s="7">
        <v>45796</v>
      </c>
      <c r="E71" s="6" t="s">
        <v>16</v>
      </c>
      <c r="F71" s="6" t="s">
        <v>30</v>
      </c>
      <c r="G71" s="8">
        <v>56</v>
      </c>
      <c r="H71" s="9">
        <v>218.81</v>
      </c>
    </row>
    <row r="72" spans="1:8" x14ac:dyDescent="0.3">
      <c r="A72" s="6">
        <v>10318</v>
      </c>
      <c r="B72" s="6" t="s">
        <v>23</v>
      </c>
      <c r="C72" s="7">
        <v>45696</v>
      </c>
      <c r="D72" s="7">
        <v>45717</v>
      </c>
      <c r="E72" s="6" t="s">
        <v>9</v>
      </c>
      <c r="F72" s="6" t="s">
        <v>54</v>
      </c>
      <c r="G72" s="8">
        <v>56</v>
      </c>
      <c r="H72" s="9">
        <v>88.58</v>
      </c>
    </row>
    <row r="73" spans="1:8" x14ac:dyDescent="0.3">
      <c r="A73" s="6">
        <v>10319</v>
      </c>
      <c r="B73" s="6" t="s">
        <v>48</v>
      </c>
      <c r="C73" s="7">
        <v>45914</v>
      </c>
      <c r="D73" s="7">
        <v>45921</v>
      </c>
      <c r="E73" s="6" t="s">
        <v>14</v>
      </c>
      <c r="F73" s="6" t="s">
        <v>36</v>
      </c>
      <c r="G73" s="8">
        <v>667</v>
      </c>
      <c r="H73" s="9">
        <v>229.63</v>
      </c>
    </row>
    <row r="74" spans="1:8" x14ac:dyDescent="0.3">
      <c r="A74" s="6">
        <v>10320</v>
      </c>
      <c r="B74" s="6" t="s">
        <v>63</v>
      </c>
      <c r="C74" s="7">
        <v>45835</v>
      </c>
      <c r="D74" s="7">
        <v>45842</v>
      </c>
      <c r="E74" s="6" t="s">
        <v>14</v>
      </c>
      <c r="F74" s="6" t="s">
        <v>30</v>
      </c>
      <c r="G74" s="8">
        <v>123</v>
      </c>
      <c r="H74" s="9">
        <v>68.16</v>
      </c>
    </row>
    <row r="75" spans="1:8" x14ac:dyDescent="0.3">
      <c r="A75" s="6">
        <v>10321</v>
      </c>
      <c r="B75" s="6" t="s">
        <v>47</v>
      </c>
      <c r="C75" s="7">
        <v>45774</v>
      </c>
      <c r="D75" s="7">
        <v>45784</v>
      </c>
      <c r="E75" s="6" t="s">
        <v>16</v>
      </c>
      <c r="F75" s="6" t="s">
        <v>22</v>
      </c>
      <c r="G75" s="8">
        <v>1000</v>
      </c>
      <c r="H75" s="9">
        <v>84.6</v>
      </c>
    </row>
    <row r="76" spans="1:8" x14ac:dyDescent="0.3">
      <c r="A76" s="6">
        <v>10322</v>
      </c>
      <c r="B76" s="6" t="s">
        <v>47</v>
      </c>
      <c r="C76" s="7">
        <v>45911</v>
      </c>
      <c r="D76" s="7">
        <v>45932</v>
      </c>
      <c r="E76" s="6" t="s">
        <v>14</v>
      </c>
      <c r="F76" s="6" t="s">
        <v>51</v>
      </c>
      <c r="G76" s="8">
        <v>667</v>
      </c>
      <c r="H76" s="9">
        <v>56.99</v>
      </c>
    </row>
    <row r="77" spans="1:8" x14ac:dyDescent="0.3">
      <c r="A77" s="6">
        <v>10323</v>
      </c>
      <c r="B77" s="6" t="s">
        <v>56</v>
      </c>
      <c r="C77" s="7">
        <v>45837</v>
      </c>
      <c r="D77" s="7">
        <v>45851</v>
      </c>
      <c r="E77" s="6" t="s">
        <v>9</v>
      </c>
      <c r="F77" s="6" t="s">
        <v>45</v>
      </c>
      <c r="G77" s="8">
        <v>88</v>
      </c>
      <c r="H77" s="9">
        <v>40.71</v>
      </c>
    </row>
    <row r="78" spans="1:8" x14ac:dyDescent="0.3">
      <c r="A78" s="6">
        <v>10324</v>
      </c>
      <c r="B78" s="6" t="s">
        <v>27</v>
      </c>
      <c r="C78" s="7">
        <v>45949</v>
      </c>
      <c r="D78" s="7">
        <v>45959</v>
      </c>
      <c r="E78" s="6" t="s">
        <v>16</v>
      </c>
      <c r="F78" s="6" t="s">
        <v>34</v>
      </c>
      <c r="G78" s="8">
        <v>56</v>
      </c>
      <c r="H78" s="9">
        <v>81.709999999999994</v>
      </c>
    </row>
    <row r="79" spans="1:8" x14ac:dyDescent="0.3">
      <c r="A79" s="6">
        <v>10325</v>
      </c>
      <c r="B79" s="6" t="s">
        <v>59</v>
      </c>
      <c r="C79" s="7">
        <v>45886</v>
      </c>
      <c r="D79" s="7">
        <v>45900</v>
      </c>
      <c r="E79" s="6" t="s">
        <v>9</v>
      </c>
      <c r="F79" s="6" t="s">
        <v>17</v>
      </c>
      <c r="G79" s="8">
        <v>99</v>
      </c>
      <c r="H79" s="9">
        <v>84.61</v>
      </c>
    </row>
    <row r="80" spans="1:8" x14ac:dyDescent="0.3">
      <c r="A80" s="6">
        <v>10326</v>
      </c>
      <c r="B80" s="6" t="s">
        <v>21</v>
      </c>
      <c r="C80" s="7">
        <v>45732</v>
      </c>
      <c r="D80" s="7">
        <v>45760</v>
      </c>
      <c r="E80" s="6" t="s">
        <v>16</v>
      </c>
      <c r="F80" s="6" t="s">
        <v>54</v>
      </c>
      <c r="G80" s="8">
        <v>1250</v>
      </c>
      <c r="H80" s="9">
        <v>115.87</v>
      </c>
    </row>
    <row r="81" spans="1:8" x14ac:dyDescent="0.3">
      <c r="A81" s="6">
        <v>10327</v>
      </c>
      <c r="B81" s="6" t="s">
        <v>46</v>
      </c>
      <c r="C81" s="7">
        <v>45864</v>
      </c>
      <c r="D81" s="7">
        <v>45885</v>
      </c>
      <c r="E81" s="6" t="s">
        <v>9</v>
      </c>
      <c r="F81" s="6" t="s">
        <v>34</v>
      </c>
      <c r="G81" s="8">
        <v>569</v>
      </c>
      <c r="H81" s="9">
        <v>85.87</v>
      </c>
    </row>
    <row r="82" spans="1:8" x14ac:dyDescent="0.3">
      <c r="A82" s="6">
        <v>10328</v>
      </c>
      <c r="B82" s="6" t="s">
        <v>48</v>
      </c>
      <c r="C82" s="7">
        <v>45912</v>
      </c>
      <c r="D82" s="7">
        <v>45940</v>
      </c>
      <c r="E82" s="6" t="s">
        <v>14</v>
      </c>
      <c r="F82" s="6" t="s">
        <v>49</v>
      </c>
      <c r="G82" s="8">
        <v>445</v>
      </c>
      <c r="H82" s="9">
        <v>162.94</v>
      </c>
    </row>
    <row r="83" spans="1:8" x14ac:dyDescent="0.3">
      <c r="A83" s="6">
        <v>10329</v>
      </c>
      <c r="B83" s="6" t="s">
        <v>52</v>
      </c>
      <c r="C83" s="7">
        <v>45689</v>
      </c>
      <c r="D83" s="7">
        <v>45710</v>
      </c>
      <c r="E83" s="6" t="s">
        <v>14</v>
      </c>
      <c r="F83" s="6" t="s">
        <v>17</v>
      </c>
      <c r="G83" s="8">
        <v>1000</v>
      </c>
      <c r="H83" s="9">
        <v>176.17</v>
      </c>
    </row>
    <row r="84" spans="1:8" x14ac:dyDescent="0.3">
      <c r="A84" s="6">
        <v>10330</v>
      </c>
      <c r="B84" s="6" t="s">
        <v>56</v>
      </c>
      <c r="C84" s="7">
        <v>45725</v>
      </c>
      <c r="D84" s="7">
        <v>45739</v>
      </c>
      <c r="E84" s="6" t="s">
        <v>16</v>
      </c>
      <c r="F84" s="6" t="s">
        <v>30</v>
      </c>
      <c r="G84" s="8">
        <v>345</v>
      </c>
      <c r="H84" s="9">
        <v>5.41</v>
      </c>
    </row>
    <row r="85" spans="1:8" x14ac:dyDescent="0.3">
      <c r="A85" s="6">
        <v>10331</v>
      </c>
      <c r="B85" s="6" t="s">
        <v>35</v>
      </c>
      <c r="C85" s="7">
        <v>45771</v>
      </c>
      <c r="D85" s="7">
        <v>45778</v>
      </c>
      <c r="E85" s="6" t="s">
        <v>16</v>
      </c>
      <c r="F85" s="6" t="s">
        <v>40</v>
      </c>
      <c r="G85" s="8">
        <v>88</v>
      </c>
      <c r="H85" s="9">
        <v>198.21</v>
      </c>
    </row>
    <row r="86" spans="1:8" x14ac:dyDescent="0.3">
      <c r="A86" s="6">
        <v>10332</v>
      </c>
      <c r="B86" s="6" t="s">
        <v>32</v>
      </c>
      <c r="C86" s="7">
        <v>45922</v>
      </c>
      <c r="D86" s="7">
        <v>45936</v>
      </c>
      <c r="E86" s="6" t="s">
        <v>14</v>
      </c>
      <c r="F86" s="6" t="s">
        <v>29</v>
      </c>
      <c r="G86" s="8">
        <v>88</v>
      </c>
      <c r="H86" s="9">
        <v>135.88999999999999</v>
      </c>
    </row>
    <row r="87" spans="1:8" x14ac:dyDescent="0.3">
      <c r="A87" s="6">
        <v>10333</v>
      </c>
      <c r="B87" s="6" t="s">
        <v>59</v>
      </c>
      <c r="C87" s="7">
        <v>45664</v>
      </c>
      <c r="D87" s="7">
        <v>45671</v>
      </c>
      <c r="E87" s="6" t="s">
        <v>16</v>
      </c>
      <c r="F87" s="6" t="s">
        <v>42</v>
      </c>
      <c r="G87" s="8">
        <v>667</v>
      </c>
      <c r="H87" s="9">
        <v>53.58</v>
      </c>
    </row>
    <row r="88" spans="1:8" x14ac:dyDescent="0.3">
      <c r="A88" s="6">
        <v>10334</v>
      </c>
      <c r="B88" s="6" t="s">
        <v>43</v>
      </c>
      <c r="C88" s="7">
        <v>45746</v>
      </c>
      <c r="D88" s="7">
        <v>45760</v>
      </c>
      <c r="E88" s="6" t="s">
        <v>9</v>
      </c>
      <c r="F88" s="6" t="s">
        <v>49</v>
      </c>
      <c r="G88" s="8">
        <v>987</v>
      </c>
      <c r="H88" s="9">
        <v>171.08</v>
      </c>
    </row>
    <row r="89" spans="1:8" x14ac:dyDescent="0.3">
      <c r="A89" s="6">
        <v>10335</v>
      </c>
      <c r="B89" s="6" t="s">
        <v>55</v>
      </c>
      <c r="C89" s="7">
        <v>45945</v>
      </c>
      <c r="D89" s="7">
        <v>45955</v>
      </c>
      <c r="E89" s="6" t="s">
        <v>14</v>
      </c>
      <c r="F89" s="6" t="s">
        <v>17</v>
      </c>
      <c r="G89" s="8">
        <v>569</v>
      </c>
      <c r="H89" s="9">
        <v>13.51</v>
      </c>
    </row>
    <row r="90" spans="1:8" x14ac:dyDescent="0.3">
      <c r="A90" s="6">
        <v>10336</v>
      </c>
      <c r="B90" s="6" t="s">
        <v>25</v>
      </c>
      <c r="C90" s="7">
        <v>45940</v>
      </c>
      <c r="D90" s="7">
        <v>45968</v>
      </c>
      <c r="E90" s="6" t="s">
        <v>16</v>
      </c>
      <c r="F90" s="6" t="s">
        <v>34</v>
      </c>
      <c r="G90" s="8">
        <v>345</v>
      </c>
      <c r="H90" s="9">
        <v>88.48</v>
      </c>
    </row>
    <row r="91" spans="1:8" x14ac:dyDescent="0.3">
      <c r="A91" s="6">
        <v>10337</v>
      </c>
      <c r="B91" s="6" t="s">
        <v>11</v>
      </c>
      <c r="C91" s="7">
        <v>45904</v>
      </c>
      <c r="D91" s="7">
        <v>45918</v>
      </c>
      <c r="E91" s="6" t="s">
        <v>16</v>
      </c>
      <c r="F91" s="6" t="s">
        <v>17</v>
      </c>
      <c r="G91" s="8">
        <v>34</v>
      </c>
      <c r="H91" s="9">
        <v>161.79</v>
      </c>
    </row>
    <row r="92" spans="1:8" x14ac:dyDescent="0.3">
      <c r="A92" s="6">
        <v>10338</v>
      </c>
      <c r="B92" s="6" t="s">
        <v>28</v>
      </c>
      <c r="C92" s="7">
        <v>45727</v>
      </c>
      <c r="D92" s="7">
        <v>45734</v>
      </c>
      <c r="E92" s="6" t="s">
        <v>16</v>
      </c>
      <c r="F92" s="6" t="s">
        <v>17</v>
      </c>
      <c r="G92" s="8">
        <v>667</v>
      </c>
      <c r="H92" s="9">
        <v>51.69</v>
      </c>
    </row>
    <row r="93" spans="1:8" x14ac:dyDescent="0.3">
      <c r="A93" s="6">
        <v>10339</v>
      </c>
      <c r="B93" s="6" t="s">
        <v>50</v>
      </c>
      <c r="C93" s="7">
        <v>45799</v>
      </c>
      <c r="D93" s="7">
        <v>45827</v>
      </c>
      <c r="E93" s="6" t="s">
        <v>16</v>
      </c>
      <c r="F93" s="6" t="s">
        <v>51</v>
      </c>
      <c r="G93" s="8">
        <v>1250</v>
      </c>
      <c r="H93" s="9">
        <v>15.91</v>
      </c>
    </row>
    <row r="94" spans="1:8" x14ac:dyDescent="0.3">
      <c r="A94" s="6">
        <v>10340</v>
      </c>
      <c r="B94" s="6" t="s">
        <v>8</v>
      </c>
      <c r="C94" s="7">
        <v>45869</v>
      </c>
      <c r="D94" s="7">
        <v>45876</v>
      </c>
      <c r="E94" s="6" t="s">
        <v>9</v>
      </c>
      <c r="F94" s="6" t="s">
        <v>29</v>
      </c>
      <c r="G94" s="8">
        <v>123</v>
      </c>
      <c r="H94" s="9">
        <v>245.31</v>
      </c>
    </row>
    <row r="95" spans="1:8" x14ac:dyDescent="0.3">
      <c r="A95" s="6">
        <v>10341</v>
      </c>
      <c r="B95" s="6" t="s">
        <v>48</v>
      </c>
      <c r="C95" s="7">
        <v>45705</v>
      </c>
      <c r="D95" s="7">
        <v>45733</v>
      </c>
      <c r="E95" s="6" t="s">
        <v>9</v>
      </c>
      <c r="F95" s="6" t="s">
        <v>34</v>
      </c>
      <c r="G95" s="8">
        <v>789</v>
      </c>
      <c r="H95" s="9">
        <v>81.19</v>
      </c>
    </row>
    <row r="96" spans="1:8" x14ac:dyDescent="0.3">
      <c r="A96" s="6">
        <v>10342</v>
      </c>
      <c r="B96" s="6" t="s">
        <v>52</v>
      </c>
      <c r="C96" s="7">
        <v>45832</v>
      </c>
      <c r="D96" s="7">
        <v>45846</v>
      </c>
      <c r="E96" s="6" t="s">
        <v>14</v>
      </c>
      <c r="F96" s="6" t="s">
        <v>29</v>
      </c>
      <c r="G96" s="8">
        <v>76</v>
      </c>
      <c r="H96" s="9">
        <v>190.43</v>
      </c>
    </row>
    <row r="97" spans="1:8" x14ac:dyDescent="0.3">
      <c r="A97" s="6">
        <v>10343</v>
      </c>
      <c r="B97" s="6" t="s">
        <v>60</v>
      </c>
      <c r="C97" s="7">
        <v>45929</v>
      </c>
      <c r="D97" s="7">
        <v>45957</v>
      </c>
      <c r="E97" s="6" t="s">
        <v>9</v>
      </c>
      <c r="F97" s="6" t="s">
        <v>10</v>
      </c>
      <c r="G97" s="8">
        <v>1500</v>
      </c>
      <c r="H97" s="9">
        <v>244.94</v>
      </c>
    </row>
    <row r="98" spans="1:8" x14ac:dyDescent="0.3">
      <c r="A98" s="6">
        <v>10344</v>
      </c>
      <c r="B98" s="6" t="s">
        <v>64</v>
      </c>
      <c r="C98" s="7">
        <v>45673</v>
      </c>
      <c r="D98" s="7">
        <v>45694</v>
      </c>
      <c r="E98" s="6" t="s">
        <v>14</v>
      </c>
      <c r="F98" s="6" t="s">
        <v>49</v>
      </c>
      <c r="G98" s="8">
        <v>987</v>
      </c>
      <c r="H98" s="9">
        <v>214.23</v>
      </c>
    </row>
    <row r="99" spans="1:8" x14ac:dyDescent="0.3">
      <c r="A99" s="6">
        <v>10345</v>
      </c>
      <c r="B99" s="6" t="s">
        <v>15</v>
      </c>
      <c r="C99" s="7">
        <v>45723</v>
      </c>
      <c r="D99" s="7">
        <v>45751</v>
      </c>
      <c r="E99" s="6" t="s">
        <v>16</v>
      </c>
      <c r="F99" s="6" t="s">
        <v>30</v>
      </c>
      <c r="G99" s="8">
        <v>66</v>
      </c>
      <c r="H99" s="9">
        <v>140.82</v>
      </c>
    </row>
    <row r="100" spans="1:8" x14ac:dyDescent="0.3">
      <c r="A100" s="6">
        <v>10346</v>
      </c>
      <c r="B100" s="6" t="s">
        <v>50</v>
      </c>
      <c r="C100" s="7">
        <v>45825</v>
      </c>
      <c r="D100" s="7">
        <v>45839</v>
      </c>
      <c r="E100" s="6" t="s">
        <v>9</v>
      </c>
      <c r="F100" s="6" t="s">
        <v>57</v>
      </c>
      <c r="G100" s="8">
        <v>1000</v>
      </c>
      <c r="H100" s="9">
        <v>49.29</v>
      </c>
    </row>
    <row r="101" spans="1:8" x14ac:dyDescent="0.3">
      <c r="A101" s="6">
        <v>10347</v>
      </c>
      <c r="B101" s="6" t="s">
        <v>59</v>
      </c>
      <c r="C101" s="7">
        <v>45941</v>
      </c>
      <c r="D101" s="7">
        <v>45951</v>
      </c>
      <c r="E101" s="6" t="s">
        <v>14</v>
      </c>
      <c r="F101" s="6" t="s">
        <v>24</v>
      </c>
      <c r="G101" s="8">
        <v>34</v>
      </c>
      <c r="H101" s="9">
        <v>200.96</v>
      </c>
    </row>
    <row r="102" spans="1:8" x14ac:dyDescent="0.3">
      <c r="A102" s="6">
        <v>10348</v>
      </c>
      <c r="B102" s="6" t="s">
        <v>65</v>
      </c>
      <c r="C102" s="7">
        <v>45676</v>
      </c>
      <c r="D102" s="7">
        <v>45690</v>
      </c>
      <c r="E102" s="6" t="s">
        <v>14</v>
      </c>
      <c r="F102" s="6" t="s">
        <v>19</v>
      </c>
      <c r="G102" s="8">
        <v>112</v>
      </c>
      <c r="H102" s="9">
        <v>240.87</v>
      </c>
    </row>
    <row r="103" spans="1:8" x14ac:dyDescent="0.3">
      <c r="A103" s="6">
        <v>10349</v>
      </c>
      <c r="B103" s="6" t="s">
        <v>20</v>
      </c>
      <c r="C103" s="7">
        <v>45841</v>
      </c>
      <c r="D103" s="7">
        <v>45851</v>
      </c>
      <c r="E103" s="6" t="s">
        <v>14</v>
      </c>
      <c r="F103" s="6" t="s">
        <v>44</v>
      </c>
      <c r="G103" s="8">
        <v>34</v>
      </c>
      <c r="H103" s="9">
        <v>188.46</v>
      </c>
    </row>
    <row r="104" spans="1:8" x14ac:dyDescent="0.3">
      <c r="A104" s="6">
        <v>10350</v>
      </c>
      <c r="B104" s="6" t="s">
        <v>11</v>
      </c>
      <c r="C104" s="7">
        <v>45737</v>
      </c>
      <c r="D104" s="7">
        <v>45758</v>
      </c>
      <c r="E104" s="6" t="s">
        <v>9</v>
      </c>
      <c r="F104" s="6" t="s">
        <v>40</v>
      </c>
      <c r="G104" s="8">
        <v>123</v>
      </c>
      <c r="H104" s="9">
        <v>57.18</v>
      </c>
    </row>
    <row r="105" spans="1:8" x14ac:dyDescent="0.3">
      <c r="A105" s="6">
        <v>10351</v>
      </c>
      <c r="B105" s="6" t="s">
        <v>43</v>
      </c>
      <c r="C105" s="7">
        <v>45845</v>
      </c>
      <c r="D105" s="7">
        <v>45873</v>
      </c>
      <c r="E105" s="6" t="s">
        <v>16</v>
      </c>
      <c r="F105" s="6" t="s">
        <v>49</v>
      </c>
      <c r="G105" s="8">
        <v>66</v>
      </c>
      <c r="H105" s="9">
        <v>225.28</v>
      </c>
    </row>
    <row r="106" spans="1:8" x14ac:dyDescent="0.3">
      <c r="A106" s="6">
        <v>10352</v>
      </c>
      <c r="B106" s="6" t="s">
        <v>33</v>
      </c>
      <c r="C106" s="7">
        <v>45733</v>
      </c>
      <c r="D106" s="7">
        <v>45761</v>
      </c>
      <c r="E106" s="6" t="s">
        <v>16</v>
      </c>
      <c r="F106" s="6" t="s">
        <v>40</v>
      </c>
      <c r="G106" s="8">
        <v>34</v>
      </c>
      <c r="H106" s="9">
        <v>25.93</v>
      </c>
    </row>
    <row r="107" spans="1:8" x14ac:dyDescent="0.3">
      <c r="A107" s="6">
        <v>10353</v>
      </c>
      <c r="B107" s="6" t="s">
        <v>53</v>
      </c>
      <c r="C107" s="7">
        <v>45959</v>
      </c>
      <c r="D107" s="7">
        <v>45973</v>
      </c>
      <c r="E107" s="6" t="s">
        <v>14</v>
      </c>
      <c r="F107" s="6" t="s">
        <v>44</v>
      </c>
      <c r="G107" s="8">
        <v>987</v>
      </c>
      <c r="H107" s="9">
        <v>49.85</v>
      </c>
    </row>
    <row r="108" spans="1:8" x14ac:dyDescent="0.3">
      <c r="A108" s="6">
        <v>10354</v>
      </c>
      <c r="B108" s="6" t="s">
        <v>27</v>
      </c>
      <c r="C108" s="7">
        <v>45705</v>
      </c>
      <c r="D108" s="7">
        <v>45726</v>
      </c>
      <c r="E108" s="6" t="s">
        <v>14</v>
      </c>
      <c r="F108" s="6" t="s">
        <v>44</v>
      </c>
      <c r="G108" s="8">
        <v>99</v>
      </c>
      <c r="H108" s="9">
        <v>58.1</v>
      </c>
    </row>
    <row r="109" spans="1:8" x14ac:dyDescent="0.3">
      <c r="A109" s="6">
        <v>10355</v>
      </c>
      <c r="B109" s="6" t="s">
        <v>32</v>
      </c>
      <c r="C109" s="7">
        <v>45912</v>
      </c>
      <c r="D109" s="7">
        <v>45922</v>
      </c>
      <c r="E109" s="6" t="s">
        <v>14</v>
      </c>
      <c r="F109" s="6" t="s">
        <v>29</v>
      </c>
      <c r="G109" s="8">
        <v>569</v>
      </c>
      <c r="H109" s="9">
        <v>180.97</v>
      </c>
    </row>
    <row r="110" spans="1:8" x14ac:dyDescent="0.3">
      <c r="A110" s="6">
        <v>10356</v>
      </c>
      <c r="B110" s="6" t="s">
        <v>15</v>
      </c>
      <c r="C110" s="7">
        <v>45894</v>
      </c>
      <c r="D110" s="7">
        <v>45908</v>
      </c>
      <c r="E110" s="6" t="s">
        <v>16</v>
      </c>
      <c r="F110" s="6" t="s">
        <v>12</v>
      </c>
      <c r="G110" s="8">
        <v>1000</v>
      </c>
      <c r="H110" s="9">
        <v>152.63999999999999</v>
      </c>
    </row>
    <row r="111" spans="1:8" x14ac:dyDescent="0.3">
      <c r="A111" s="6">
        <v>10357</v>
      </c>
      <c r="B111" s="6" t="s">
        <v>38</v>
      </c>
      <c r="C111" s="7">
        <v>45705</v>
      </c>
      <c r="D111" s="7">
        <v>45715</v>
      </c>
      <c r="E111" s="6" t="s">
        <v>14</v>
      </c>
      <c r="F111" s="6" t="s">
        <v>18</v>
      </c>
      <c r="G111" s="8">
        <v>445</v>
      </c>
      <c r="H111" s="9">
        <v>179.41</v>
      </c>
    </row>
    <row r="112" spans="1:8" x14ac:dyDescent="0.3">
      <c r="A112" s="6">
        <v>10358</v>
      </c>
      <c r="B112" s="6" t="s">
        <v>52</v>
      </c>
      <c r="C112" s="7">
        <v>45739</v>
      </c>
      <c r="D112" s="7">
        <v>45746</v>
      </c>
      <c r="E112" s="6" t="s">
        <v>14</v>
      </c>
      <c r="F112" s="6" t="s">
        <v>49</v>
      </c>
      <c r="G112" s="8">
        <v>88</v>
      </c>
      <c r="H112" s="9">
        <v>225.12</v>
      </c>
    </row>
    <row r="113" spans="1:8" x14ac:dyDescent="0.3">
      <c r="A113" s="6">
        <v>10359</v>
      </c>
      <c r="B113" s="6" t="s">
        <v>59</v>
      </c>
      <c r="C113" s="7">
        <v>45878</v>
      </c>
      <c r="D113" s="7">
        <v>45885</v>
      </c>
      <c r="E113" s="6" t="s">
        <v>9</v>
      </c>
      <c r="F113" s="6" t="s">
        <v>17</v>
      </c>
      <c r="G113" s="8">
        <v>123</v>
      </c>
      <c r="H113" s="9">
        <v>185.44</v>
      </c>
    </row>
    <row r="114" spans="1:8" x14ac:dyDescent="0.3">
      <c r="A114" s="6">
        <v>10360</v>
      </c>
      <c r="B114" s="6" t="s">
        <v>28</v>
      </c>
      <c r="C114" s="7">
        <v>45862</v>
      </c>
      <c r="D114" s="7">
        <v>45869</v>
      </c>
      <c r="E114" s="6" t="s">
        <v>9</v>
      </c>
      <c r="F114" s="6" t="s">
        <v>12</v>
      </c>
      <c r="G114" s="8">
        <v>112</v>
      </c>
      <c r="H114" s="9">
        <v>210.52</v>
      </c>
    </row>
    <row r="115" spans="1:8" x14ac:dyDescent="0.3">
      <c r="A115" s="6">
        <v>10361</v>
      </c>
      <c r="B115" s="6" t="s">
        <v>55</v>
      </c>
      <c r="C115" s="7">
        <v>45908</v>
      </c>
      <c r="D115" s="7">
        <v>45918</v>
      </c>
      <c r="E115" s="6" t="s">
        <v>14</v>
      </c>
      <c r="F115" s="6" t="s">
        <v>29</v>
      </c>
      <c r="G115" s="8">
        <v>99</v>
      </c>
      <c r="H115" s="9">
        <v>242.49</v>
      </c>
    </row>
    <row r="116" spans="1:8" x14ac:dyDescent="0.3">
      <c r="A116" s="6">
        <v>10362</v>
      </c>
      <c r="B116" s="6" t="s">
        <v>58</v>
      </c>
      <c r="C116" s="7">
        <v>45892</v>
      </c>
      <c r="D116" s="7">
        <v>45913</v>
      </c>
      <c r="E116" s="6" t="s">
        <v>9</v>
      </c>
      <c r="F116" s="6" t="s">
        <v>29</v>
      </c>
      <c r="G116" s="8">
        <v>345</v>
      </c>
      <c r="H116" s="9">
        <v>189.34</v>
      </c>
    </row>
    <row r="117" spans="1:8" x14ac:dyDescent="0.3">
      <c r="A117" s="6">
        <v>10363</v>
      </c>
      <c r="B117" s="6" t="s">
        <v>20</v>
      </c>
      <c r="C117" s="7">
        <v>45699</v>
      </c>
      <c r="D117" s="7">
        <v>45720</v>
      </c>
      <c r="E117" s="6" t="s">
        <v>16</v>
      </c>
      <c r="F117" s="6" t="s">
        <v>29</v>
      </c>
      <c r="G117" s="8">
        <v>987</v>
      </c>
      <c r="H117" s="9">
        <v>205.69</v>
      </c>
    </row>
    <row r="118" spans="1:8" x14ac:dyDescent="0.3">
      <c r="A118" s="6">
        <v>10364</v>
      </c>
      <c r="B118" s="6" t="s">
        <v>13</v>
      </c>
      <c r="C118" s="7">
        <v>45709</v>
      </c>
      <c r="D118" s="7">
        <v>45723</v>
      </c>
      <c r="E118" s="6" t="s">
        <v>14</v>
      </c>
      <c r="F118" s="6" t="s">
        <v>18</v>
      </c>
      <c r="G118" s="8">
        <v>1250</v>
      </c>
      <c r="H118" s="9">
        <v>12.86</v>
      </c>
    </row>
    <row r="119" spans="1:8" x14ac:dyDescent="0.3">
      <c r="A119" s="6">
        <v>10365</v>
      </c>
      <c r="B119" s="6" t="s">
        <v>55</v>
      </c>
      <c r="C119" s="7">
        <v>45929</v>
      </c>
      <c r="D119" s="7">
        <v>45950</v>
      </c>
      <c r="E119" s="6" t="s">
        <v>16</v>
      </c>
      <c r="F119" s="6" t="s">
        <v>24</v>
      </c>
      <c r="G119" s="8">
        <v>667</v>
      </c>
      <c r="H119" s="9">
        <v>154.30000000000001</v>
      </c>
    </row>
    <row r="120" spans="1:8" x14ac:dyDescent="0.3">
      <c r="A120" s="6">
        <v>10366</v>
      </c>
      <c r="B120" s="6" t="s">
        <v>59</v>
      </c>
      <c r="C120" s="7">
        <v>45935</v>
      </c>
      <c r="D120" s="7">
        <v>45942</v>
      </c>
      <c r="E120" s="6" t="s">
        <v>16</v>
      </c>
      <c r="F120" s="6" t="s">
        <v>19</v>
      </c>
      <c r="G120" s="8">
        <v>23</v>
      </c>
      <c r="H120" s="9">
        <v>28.53</v>
      </c>
    </row>
    <row r="121" spans="1:8" x14ac:dyDescent="0.3">
      <c r="A121" s="6">
        <v>10367</v>
      </c>
      <c r="B121" s="6" t="s">
        <v>61</v>
      </c>
      <c r="C121" s="7">
        <v>45706</v>
      </c>
      <c r="D121" s="7">
        <v>45716</v>
      </c>
      <c r="E121" s="6" t="s">
        <v>16</v>
      </c>
      <c r="F121" s="6" t="s">
        <v>40</v>
      </c>
      <c r="G121" s="8">
        <v>34</v>
      </c>
      <c r="H121" s="9">
        <v>187.86</v>
      </c>
    </row>
    <row r="122" spans="1:8" x14ac:dyDescent="0.3">
      <c r="A122" s="6">
        <v>10368</v>
      </c>
      <c r="B122" s="6" t="s">
        <v>48</v>
      </c>
      <c r="C122" s="7">
        <v>45695</v>
      </c>
      <c r="D122" s="7">
        <v>45723</v>
      </c>
      <c r="E122" s="6" t="s">
        <v>14</v>
      </c>
      <c r="F122" s="6" t="s">
        <v>34</v>
      </c>
      <c r="G122" s="8">
        <v>66</v>
      </c>
      <c r="H122" s="9">
        <v>78.489999999999995</v>
      </c>
    </row>
    <row r="123" spans="1:8" x14ac:dyDescent="0.3">
      <c r="A123" s="6">
        <v>10369</v>
      </c>
      <c r="B123" s="6" t="s">
        <v>47</v>
      </c>
      <c r="C123" s="7">
        <v>45900</v>
      </c>
      <c r="D123" s="7">
        <v>45910</v>
      </c>
      <c r="E123" s="6" t="s">
        <v>9</v>
      </c>
      <c r="F123" s="6" t="s">
        <v>12</v>
      </c>
      <c r="G123" s="8">
        <v>99</v>
      </c>
      <c r="H123" s="9">
        <v>101.51</v>
      </c>
    </row>
    <row r="124" spans="1:8" x14ac:dyDescent="0.3">
      <c r="A124" s="6">
        <v>10370</v>
      </c>
      <c r="B124" s="6" t="s">
        <v>56</v>
      </c>
      <c r="C124" s="7">
        <v>45922</v>
      </c>
      <c r="D124" s="7">
        <v>45936</v>
      </c>
      <c r="E124" s="6" t="s">
        <v>14</v>
      </c>
      <c r="F124" s="6" t="s">
        <v>30</v>
      </c>
      <c r="G124" s="8">
        <v>99</v>
      </c>
      <c r="H124" s="9">
        <v>149.93</v>
      </c>
    </row>
    <row r="125" spans="1:8" x14ac:dyDescent="0.3">
      <c r="A125" s="6">
        <v>10371</v>
      </c>
      <c r="B125" s="6" t="s">
        <v>21</v>
      </c>
      <c r="C125" s="7">
        <v>45883</v>
      </c>
      <c r="D125" s="7">
        <v>45893</v>
      </c>
      <c r="E125" s="6" t="s">
        <v>9</v>
      </c>
      <c r="F125" s="6" t="s">
        <v>30</v>
      </c>
      <c r="G125" s="8">
        <v>1250</v>
      </c>
      <c r="H125" s="9">
        <v>96.95</v>
      </c>
    </row>
    <row r="126" spans="1:8" x14ac:dyDescent="0.3">
      <c r="A126" s="6">
        <v>10372</v>
      </c>
      <c r="B126" s="6" t="s">
        <v>11</v>
      </c>
      <c r="C126" s="7">
        <v>45930</v>
      </c>
      <c r="D126" s="7">
        <v>45937</v>
      </c>
      <c r="E126" s="6" t="s">
        <v>14</v>
      </c>
      <c r="F126" s="6" t="s">
        <v>45</v>
      </c>
      <c r="G126" s="8">
        <v>34</v>
      </c>
      <c r="H126" s="9">
        <v>133.56</v>
      </c>
    </row>
    <row r="127" spans="1:8" x14ac:dyDescent="0.3">
      <c r="A127" s="6">
        <v>10373</v>
      </c>
      <c r="B127" s="6" t="s">
        <v>64</v>
      </c>
      <c r="C127" s="7">
        <v>45730</v>
      </c>
      <c r="D127" s="7">
        <v>45744</v>
      </c>
      <c r="E127" s="6" t="s">
        <v>9</v>
      </c>
      <c r="F127" s="6" t="s">
        <v>34</v>
      </c>
      <c r="G127" s="8">
        <v>112</v>
      </c>
      <c r="H127" s="9">
        <v>192.33</v>
      </c>
    </row>
    <row r="128" spans="1:8" x14ac:dyDescent="0.3">
      <c r="A128" s="6">
        <v>10374</v>
      </c>
      <c r="B128" s="6" t="s">
        <v>39</v>
      </c>
      <c r="C128" s="7">
        <v>45956</v>
      </c>
      <c r="D128" s="7">
        <v>45963</v>
      </c>
      <c r="E128" s="6" t="s">
        <v>9</v>
      </c>
      <c r="F128" s="6" t="s">
        <v>22</v>
      </c>
      <c r="G128" s="8">
        <v>76</v>
      </c>
      <c r="H128" s="9">
        <v>238.41</v>
      </c>
    </row>
    <row r="129" spans="1:8" x14ac:dyDescent="0.3">
      <c r="A129" s="6">
        <v>10375</v>
      </c>
      <c r="B129" s="6" t="s">
        <v>32</v>
      </c>
      <c r="C129" s="7">
        <v>45721</v>
      </c>
      <c r="D129" s="7">
        <v>45749</v>
      </c>
      <c r="E129" s="6" t="s">
        <v>14</v>
      </c>
      <c r="F129" s="6" t="s">
        <v>24</v>
      </c>
      <c r="G129" s="8">
        <v>44</v>
      </c>
      <c r="H129" s="9">
        <v>139.78</v>
      </c>
    </row>
    <row r="130" spans="1:8" x14ac:dyDescent="0.3">
      <c r="A130" s="6">
        <v>10376</v>
      </c>
      <c r="B130" s="6" t="s">
        <v>21</v>
      </c>
      <c r="C130" s="7">
        <v>45893</v>
      </c>
      <c r="D130" s="7">
        <v>45914</v>
      </c>
      <c r="E130" s="6" t="s">
        <v>14</v>
      </c>
      <c r="F130" s="6" t="s">
        <v>49</v>
      </c>
      <c r="G130" s="8">
        <v>466</v>
      </c>
      <c r="H130" s="9">
        <v>244.17</v>
      </c>
    </row>
    <row r="131" spans="1:8" x14ac:dyDescent="0.3">
      <c r="A131" s="6">
        <v>10377</v>
      </c>
      <c r="B131" s="6" t="s">
        <v>58</v>
      </c>
      <c r="C131" s="7">
        <v>45784</v>
      </c>
      <c r="D131" s="7">
        <v>45794</v>
      </c>
      <c r="E131" s="6" t="s">
        <v>16</v>
      </c>
      <c r="F131" s="6" t="s">
        <v>44</v>
      </c>
      <c r="G131" s="8">
        <v>987</v>
      </c>
      <c r="H131" s="9">
        <v>68.430000000000007</v>
      </c>
    </row>
    <row r="132" spans="1:8" x14ac:dyDescent="0.3">
      <c r="A132" s="6">
        <v>10378</v>
      </c>
      <c r="B132" s="6" t="s">
        <v>23</v>
      </c>
      <c r="C132" s="7">
        <v>45850</v>
      </c>
      <c r="D132" s="7">
        <v>45857</v>
      </c>
      <c r="E132" s="6" t="s">
        <v>14</v>
      </c>
      <c r="F132" s="6" t="s">
        <v>26</v>
      </c>
      <c r="G132" s="8">
        <v>88</v>
      </c>
      <c r="H132" s="9">
        <v>177.39</v>
      </c>
    </row>
    <row r="133" spans="1:8" x14ac:dyDescent="0.3">
      <c r="A133" s="6">
        <v>10379</v>
      </c>
      <c r="B133" s="6" t="s">
        <v>37</v>
      </c>
      <c r="C133" s="7">
        <v>45946</v>
      </c>
      <c r="D133" s="7">
        <v>45953</v>
      </c>
      <c r="E133" s="6" t="s">
        <v>9</v>
      </c>
      <c r="F133" s="6" t="s">
        <v>26</v>
      </c>
      <c r="G133" s="8">
        <v>445</v>
      </c>
      <c r="H133" s="9">
        <v>240.08</v>
      </c>
    </row>
    <row r="134" spans="1:8" x14ac:dyDescent="0.3">
      <c r="A134" s="6">
        <v>10380</v>
      </c>
      <c r="B134" s="6" t="s">
        <v>33</v>
      </c>
      <c r="C134" s="7">
        <v>45898</v>
      </c>
      <c r="D134" s="7">
        <v>45926</v>
      </c>
      <c r="E134" s="6" t="s">
        <v>14</v>
      </c>
      <c r="F134" s="6" t="s">
        <v>30</v>
      </c>
      <c r="G134" s="8">
        <v>34</v>
      </c>
      <c r="H134" s="9">
        <v>74.599999999999994</v>
      </c>
    </row>
    <row r="135" spans="1:8" x14ac:dyDescent="0.3">
      <c r="A135" s="6">
        <v>10381</v>
      </c>
      <c r="B135" s="6" t="s">
        <v>35</v>
      </c>
      <c r="C135" s="7">
        <v>45745</v>
      </c>
      <c r="D135" s="7">
        <v>45752</v>
      </c>
      <c r="E135" s="6" t="s">
        <v>14</v>
      </c>
      <c r="F135" s="6" t="s">
        <v>40</v>
      </c>
      <c r="G135" s="8">
        <v>123</v>
      </c>
      <c r="H135" s="9">
        <v>155.38999999999999</v>
      </c>
    </row>
    <row r="136" spans="1:8" x14ac:dyDescent="0.3">
      <c r="A136" s="6">
        <v>10382</v>
      </c>
      <c r="B136" s="6" t="s">
        <v>23</v>
      </c>
      <c r="C136" s="7">
        <v>45681</v>
      </c>
      <c r="D136" s="7">
        <v>45702</v>
      </c>
      <c r="E136" s="6" t="s">
        <v>14</v>
      </c>
      <c r="F136" s="6" t="s">
        <v>29</v>
      </c>
      <c r="G136" s="8">
        <v>76</v>
      </c>
      <c r="H136" s="9">
        <v>137.99</v>
      </c>
    </row>
    <row r="137" spans="1:8" x14ac:dyDescent="0.3">
      <c r="A137" s="6">
        <v>10383</v>
      </c>
      <c r="B137" s="6" t="s">
        <v>61</v>
      </c>
      <c r="C137" s="7">
        <v>45923</v>
      </c>
      <c r="D137" s="7">
        <v>45951</v>
      </c>
      <c r="E137" s="6" t="s">
        <v>14</v>
      </c>
      <c r="F137" s="6" t="s">
        <v>30</v>
      </c>
      <c r="G137" s="8">
        <v>34</v>
      </c>
      <c r="H137" s="9">
        <v>136.56</v>
      </c>
    </row>
    <row r="138" spans="1:8" x14ac:dyDescent="0.3">
      <c r="A138" s="6">
        <v>10384</v>
      </c>
      <c r="B138" s="6" t="s">
        <v>50</v>
      </c>
      <c r="C138" s="7">
        <v>45775</v>
      </c>
      <c r="D138" s="7">
        <v>45803</v>
      </c>
      <c r="E138" s="6" t="s">
        <v>16</v>
      </c>
      <c r="F138" s="6" t="s">
        <v>18</v>
      </c>
      <c r="G138" s="8">
        <v>99</v>
      </c>
      <c r="H138" s="9">
        <v>10.28</v>
      </c>
    </row>
    <row r="139" spans="1:8" x14ac:dyDescent="0.3">
      <c r="A139" s="6">
        <v>10385</v>
      </c>
      <c r="B139" s="6" t="s">
        <v>43</v>
      </c>
      <c r="C139" s="7">
        <v>45870</v>
      </c>
      <c r="D139" s="7">
        <v>45891</v>
      </c>
      <c r="E139" s="6" t="s">
        <v>16</v>
      </c>
      <c r="F139" s="6" t="s">
        <v>57</v>
      </c>
      <c r="G139" s="8">
        <v>76</v>
      </c>
      <c r="H139" s="9">
        <v>44.96</v>
      </c>
    </row>
    <row r="140" spans="1:8" x14ac:dyDescent="0.3">
      <c r="A140" s="6">
        <v>10386</v>
      </c>
      <c r="B140" s="6" t="s">
        <v>38</v>
      </c>
      <c r="C140" s="7">
        <v>45743</v>
      </c>
      <c r="D140" s="7">
        <v>45771</v>
      </c>
      <c r="E140" s="6" t="s">
        <v>9</v>
      </c>
      <c r="F140" s="6" t="s">
        <v>34</v>
      </c>
      <c r="G140" s="8">
        <v>466</v>
      </c>
      <c r="H140" s="9">
        <v>71.53</v>
      </c>
    </row>
    <row r="141" spans="1:8" x14ac:dyDescent="0.3">
      <c r="A141" s="6">
        <v>10387</v>
      </c>
      <c r="B141" s="6" t="s">
        <v>43</v>
      </c>
      <c r="C141" s="7">
        <v>45745</v>
      </c>
      <c r="D141" s="7">
        <v>45766</v>
      </c>
      <c r="E141" s="6" t="s">
        <v>14</v>
      </c>
      <c r="F141" s="6" t="s">
        <v>36</v>
      </c>
      <c r="G141" s="8">
        <v>44</v>
      </c>
      <c r="H141" s="9">
        <v>187.59</v>
      </c>
    </row>
    <row r="142" spans="1:8" x14ac:dyDescent="0.3">
      <c r="A142" s="6">
        <v>10388</v>
      </c>
      <c r="B142" s="6" t="s">
        <v>48</v>
      </c>
      <c r="C142" s="7">
        <v>45725</v>
      </c>
      <c r="D142" s="7">
        <v>45753</v>
      </c>
      <c r="E142" s="6" t="s">
        <v>14</v>
      </c>
      <c r="F142" s="6" t="s">
        <v>30</v>
      </c>
      <c r="G142" s="8">
        <v>66</v>
      </c>
      <c r="H142" s="9">
        <v>172.46</v>
      </c>
    </row>
    <row r="143" spans="1:8" x14ac:dyDescent="0.3">
      <c r="A143" s="6">
        <v>10389</v>
      </c>
      <c r="B143" s="6" t="s">
        <v>11</v>
      </c>
      <c r="C143" s="7">
        <v>45824</v>
      </c>
      <c r="D143" s="7">
        <v>45834</v>
      </c>
      <c r="E143" s="6" t="s">
        <v>9</v>
      </c>
      <c r="F143" s="6" t="s">
        <v>10</v>
      </c>
      <c r="G143" s="8">
        <v>66</v>
      </c>
      <c r="H143" s="9">
        <v>2.87</v>
      </c>
    </row>
    <row r="144" spans="1:8" x14ac:dyDescent="0.3">
      <c r="A144" s="6">
        <v>10390</v>
      </c>
      <c r="B144" s="6" t="s">
        <v>11</v>
      </c>
      <c r="C144" s="7">
        <v>45853</v>
      </c>
      <c r="D144" s="7">
        <v>45860</v>
      </c>
      <c r="E144" s="6" t="s">
        <v>9</v>
      </c>
      <c r="F144" s="6" t="s">
        <v>49</v>
      </c>
      <c r="G144" s="8">
        <v>1250</v>
      </c>
      <c r="H144" s="9">
        <v>86.31</v>
      </c>
    </row>
    <row r="145" spans="1:8" x14ac:dyDescent="0.3">
      <c r="A145" s="6">
        <v>10391</v>
      </c>
      <c r="B145" s="6" t="s">
        <v>46</v>
      </c>
      <c r="C145" s="7">
        <v>45841</v>
      </c>
      <c r="D145" s="7">
        <v>45848</v>
      </c>
      <c r="E145" s="6" t="s">
        <v>9</v>
      </c>
      <c r="F145" s="6" t="s">
        <v>17</v>
      </c>
      <c r="G145" s="8">
        <v>99</v>
      </c>
      <c r="H145" s="9">
        <v>31.11</v>
      </c>
    </row>
    <row r="146" spans="1:8" x14ac:dyDescent="0.3">
      <c r="A146" s="6">
        <v>10392</v>
      </c>
      <c r="B146" s="6" t="s">
        <v>52</v>
      </c>
      <c r="C146" s="7">
        <v>45784</v>
      </c>
      <c r="D146" s="7">
        <v>45798</v>
      </c>
      <c r="E146" s="6" t="s">
        <v>16</v>
      </c>
      <c r="F146" s="6" t="s">
        <v>29</v>
      </c>
      <c r="G146" s="8">
        <v>23</v>
      </c>
      <c r="H146" s="9">
        <v>243.18</v>
      </c>
    </row>
    <row r="147" spans="1:8" x14ac:dyDescent="0.3">
      <c r="A147" s="6">
        <v>10393</v>
      </c>
      <c r="B147" s="6" t="s">
        <v>20</v>
      </c>
      <c r="C147" s="7">
        <v>45834</v>
      </c>
      <c r="D147" s="7">
        <v>45844</v>
      </c>
      <c r="E147" s="6" t="s">
        <v>9</v>
      </c>
      <c r="F147" s="6" t="s">
        <v>10</v>
      </c>
      <c r="G147" s="8">
        <v>99</v>
      </c>
      <c r="H147" s="9">
        <v>166.96</v>
      </c>
    </row>
    <row r="148" spans="1:8" x14ac:dyDescent="0.3">
      <c r="A148" s="6">
        <v>10394</v>
      </c>
      <c r="B148" s="6" t="s">
        <v>8</v>
      </c>
      <c r="C148" s="7">
        <v>45740</v>
      </c>
      <c r="D148" s="7">
        <v>45768</v>
      </c>
      <c r="E148" s="6" t="s">
        <v>9</v>
      </c>
      <c r="F148" s="6" t="s">
        <v>30</v>
      </c>
      <c r="G148" s="8">
        <v>56</v>
      </c>
      <c r="H148" s="9">
        <v>19.21</v>
      </c>
    </row>
    <row r="149" spans="1:8" x14ac:dyDescent="0.3">
      <c r="A149" s="6">
        <v>10395</v>
      </c>
      <c r="B149" s="6" t="s">
        <v>48</v>
      </c>
      <c r="C149" s="7">
        <v>45661</v>
      </c>
      <c r="D149" s="7">
        <v>45689</v>
      </c>
      <c r="E149" s="6" t="s">
        <v>16</v>
      </c>
      <c r="F149" s="6" t="s">
        <v>19</v>
      </c>
      <c r="G149" s="8">
        <v>569</v>
      </c>
      <c r="H149" s="9">
        <v>235.22</v>
      </c>
    </row>
    <row r="150" spans="1:8" x14ac:dyDescent="0.3">
      <c r="A150" s="6">
        <v>10396</v>
      </c>
      <c r="B150" s="6" t="s">
        <v>13</v>
      </c>
      <c r="C150" s="7">
        <v>45669</v>
      </c>
      <c r="D150" s="7">
        <v>45690</v>
      </c>
      <c r="E150" s="6" t="s">
        <v>14</v>
      </c>
      <c r="F150" s="6" t="s">
        <v>45</v>
      </c>
      <c r="G150" s="8">
        <v>23</v>
      </c>
      <c r="H150" s="9">
        <v>112.41</v>
      </c>
    </row>
    <row r="151" spans="1:8" x14ac:dyDescent="0.3">
      <c r="A151" s="6">
        <v>10397</v>
      </c>
      <c r="B151" s="6" t="s">
        <v>25</v>
      </c>
      <c r="C151" s="7">
        <v>45721</v>
      </c>
      <c r="D151" s="7">
        <v>45728</v>
      </c>
      <c r="E151" s="6" t="s">
        <v>16</v>
      </c>
      <c r="F151" s="6" t="s">
        <v>12</v>
      </c>
      <c r="G151" s="8">
        <v>44</v>
      </c>
      <c r="H151" s="9">
        <v>211.83</v>
      </c>
    </row>
    <row r="152" spans="1:8" x14ac:dyDescent="0.3">
      <c r="A152" s="6">
        <v>10398</v>
      </c>
      <c r="B152" s="6" t="s">
        <v>37</v>
      </c>
      <c r="C152" s="7">
        <v>45799</v>
      </c>
      <c r="D152" s="7">
        <v>45820</v>
      </c>
      <c r="E152" s="6" t="s">
        <v>9</v>
      </c>
      <c r="F152" s="6" t="s">
        <v>54</v>
      </c>
      <c r="G152" s="8">
        <v>112</v>
      </c>
      <c r="H152" s="9">
        <v>112.87</v>
      </c>
    </row>
    <row r="153" spans="1:8" x14ac:dyDescent="0.3">
      <c r="A153" s="6">
        <v>10399</v>
      </c>
      <c r="B153" s="6" t="s">
        <v>13</v>
      </c>
      <c r="C153" s="7">
        <v>45869</v>
      </c>
      <c r="D153" s="7">
        <v>45890</v>
      </c>
      <c r="E153" s="6" t="s">
        <v>16</v>
      </c>
      <c r="F153" s="6" t="s">
        <v>44</v>
      </c>
      <c r="G153" s="8">
        <v>56</v>
      </c>
      <c r="H153" s="9">
        <v>154.07</v>
      </c>
    </row>
    <row r="154" spans="1:8" x14ac:dyDescent="0.3">
      <c r="A154" s="6">
        <v>10400</v>
      </c>
      <c r="B154" s="6" t="s">
        <v>15</v>
      </c>
      <c r="C154" s="7">
        <v>45674</v>
      </c>
      <c r="D154" s="7">
        <v>45684</v>
      </c>
      <c r="E154" s="6" t="s">
        <v>9</v>
      </c>
      <c r="F154" s="6" t="s">
        <v>54</v>
      </c>
      <c r="G154" s="8">
        <v>466</v>
      </c>
      <c r="H154" s="9">
        <v>58.15</v>
      </c>
    </row>
    <row r="155" spans="1:8" x14ac:dyDescent="0.3">
      <c r="A155" s="6">
        <v>10401</v>
      </c>
      <c r="B155" s="6" t="s">
        <v>55</v>
      </c>
      <c r="C155" s="7">
        <v>45825</v>
      </c>
      <c r="D155" s="7">
        <v>45835</v>
      </c>
      <c r="E155" s="6" t="s">
        <v>14</v>
      </c>
      <c r="F155" s="6" t="s">
        <v>45</v>
      </c>
      <c r="G155" s="8">
        <v>66</v>
      </c>
      <c r="H155" s="9">
        <v>151.38</v>
      </c>
    </row>
    <row r="156" spans="1:8" x14ac:dyDescent="0.3">
      <c r="A156" s="6">
        <v>10402</v>
      </c>
      <c r="B156" s="6" t="s">
        <v>15</v>
      </c>
      <c r="C156" s="7">
        <v>45933</v>
      </c>
      <c r="D156" s="7">
        <v>45954</v>
      </c>
      <c r="E156" s="6" t="s">
        <v>9</v>
      </c>
      <c r="F156" s="6" t="s">
        <v>29</v>
      </c>
      <c r="G156" s="8">
        <v>123</v>
      </c>
      <c r="H156" s="9">
        <v>228.21</v>
      </c>
    </row>
    <row r="157" spans="1:8" x14ac:dyDescent="0.3">
      <c r="A157" s="6">
        <v>10403</v>
      </c>
      <c r="B157" s="6" t="s">
        <v>23</v>
      </c>
      <c r="C157" s="7">
        <v>45934</v>
      </c>
      <c r="D157" s="7">
        <v>45955</v>
      </c>
      <c r="E157" s="6" t="s">
        <v>16</v>
      </c>
      <c r="F157" s="6" t="s">
        <v>12</v>
      </c>
      <c r="G157" s="8">
        <v>99</v>
      </c>
      <c r="H157" s="9">
        <v>45.97</v>
      </c>
    </row>
    <row r="158" spans="1:8" x14ac:dyDescent="0.3">
      <c r="A158" s="6">
        <v>10404</v>
      </c>
      <c r="B158" s="6" t="s">
        <v>38</v>
      </c>
      <c r="C158" s="7">
        <v>45813</v>
      </c>
      <c r="D158" s="7">
        <v>45820</v>
      </c>
      <c r="E158" s="6" t="s">
        <v>16</v>
      </c>
      <c r="F158" s="6" t="s">
        <v>44</v>
      </c>
      <c r="G158" s="8">
        <v>569</v>
      </c>
      <c r="H158" s="9">
        <v>168.36</v>
      </c>
    </row>
    <row r="159" spans="1:8" x14ac:dyDescent="0.3">
      <c r="A159" s="6">
        <v>10405</v>
      </c>
      <c r="B159" s="6" t="s">
        <v>60</v>
      </c>
      <c r="C159" s="7">
        <v>45723</v>
      </c>
      <c r="D159" s="7">
        <v>45744</v>
      </c>
      <c r="E159" s="6" t="s">
        <v>9</v>
      </c>
      <c r="F159" s="6" t="s">
        <v>30</v>
      </c>
      <c r="G159" s="8">
        <v>34</v>
      </c>
      <c r="H159" s="9">
        <v>153.93</v>
      </c>
    </row>
    <row r="160" spans="1:8" x14ac:dyDescent="0.3">
      <c r="A160" s="6">
        <v>10406</v>
      </c>
      <c r="B160" s="6" t="s">
        <v>8</v>
      </c>
      <c r="C160" s="7">
        <v>45677</v>
      </c>
      <c r="D160" s="7">
        <v>45705</v>
      </c>
      <c r="E160" s="6" t="s">
        <v>16</v>
      </c>
      <c r="F160" s="6" t="s">
        <v>29</v>
      </c>
      <c r="G160" s="8">
        <v>123</v>
      </c>
      <c r="H160" s="9">
        <v>209.51</v>
      </c>
    </row>
    <row r="161" spans="1:8" x14ac:dyDescent="0.3">
      <c r="A161" s="6">
        <v>10407</v>
      </c>
      <c r="B161" s="6" t="s">
        <v>8</v>
      </c>
      <c r="C161" s="7">
        <v>45774</v>
      </c>
      <c r="D161" s="7">
        <v>45802</v>
      </c>
      <c r="E161" s="6" t="s">
        <v>16</v>
      </c>
      <c r="F161" s="6" t="s">
        <v>57</v>
      </c>
      <c r="G161" s="8">
        <v>987</v>
      </c>
      <c r="H161" s="9">
        <v>89.17</v>
      </c>
    </row>
    <row r="162" spans="1:8" x14ac:dyDescent="0.3">
      <c r="A162" s="6">
        <v>10408</v>
      </c>
      <c r="B162" s="6" t="s">
        <v>48</v>
      </c>
      <c r="C162" s="7">
        <v>45838</v>
      </c>
      <c r="D162" s="7">
        <v>45859</v>
      </c>
      <c r="E162" s="6" t="s">
        <v>14</v>
      </c>
      <c r="F162" s="6" t="s">
        <v>40</v>
      </c>
      <c r="G162" s="8">
        <v>569</v>
      </c>
      <c r="H162" s="9">
        <v>132.61000000000001</v>
      </c>
    </row>
    <row r="163" spans="1:8" x14ac:dyDescent="0.3">
      <c r="A163" s="6">
        <v>10409</v>
      </c>
      <c r="B163" s="6" t="s">
        <v>32</v>
      </c>
      <c r="C163" s="7">
        <v>45857</v>
      </c>
      <c r="D163" s="7">
        <v>45885</v>
      </c>
      <c r="E163" s="6" t="s">
        <v>14</v>
      </c>
      <c r="F163" s="6" t="s">
        <v>29</v>
      </c>
      <c r="G163" s="8">
        <v>1250</v>
      </c>
      <c r="H163" s="9">
        <v>96.03</v>
      </c>
    </row>
    <row r="164" spans="1:8" x14ac:dyDescent="0.3">
      <c r="A164" s="6">
        <v>10410</v>
      </c>
      <c r="B164" s="6" t="s">
        <v>64</v>
      </c>
      <c r="C164" s="7">
        <v>45673</v>
      </c>
      <c r="D164" s="7">
        <v>45680</v>
      </c>
      <c r="E164" s="6" t="s">
        <v>14</v>
      </c>
      <c r="F164" s="6" t="s">
        <v>44</v>
      </c>
      <c r="G164" s="8">
        <v>789</v>
      </c>
      <c r="H164" s="9">
        <v>155.4</v>
      </c>
    </row>
    <row r="165" spans="1:8" x14ac:dyDescent="0.3">
      <c r="A165" s="6">
        <v>10411</v>
      </c>
      <c r="B165" s="6" t="s">
        <v>27</v>
      </c>
      <c r="C165" s="7">
        <v>45901</v>
      </c>
      <c r="D165" s="7">
        <v>45911</v>
      </c>
      <c r="E165" s="6" t="s">
        <v>9</v>
      </c>
      <c r="F165" s="6" t="s">
        <v>51</v>
      </c>
      <c r="G165" s="8">
        <v>445</v>
      </c>
      <c r="H165" s="9">
        <v>10.19</v>
      </c>
    </row>
    <row r="166" spans="1:8" x14ac:dyDescent="0.3">
      <c r="A166" s="6">
        <v>10412</v>
      </c>
      <c r="B166" s="6" t="s">
        <v>21</v>
      </c>
      <c r="C166" s="7">
        <v>45702</v>
      </c>
      <c r="D166" s="7">
        <v>45709</v>
      </c>
      <c r="E166" s="6" t="s">
        <v>14</v>
      </c>
      <c r="F166" s="6" t="s">
        <v>45</v>
      </c>
      <c r="G166" s="8">
        <v>56</v>
      </c>
      <c r="H166" s="9">
        <v>115.7</v>
      </c>
    </row>
    <row r="167" spans="1:8" x14ac:dyDescent="0.3">
      <c r="A167" s="6">
        <v>10413</v>
      </c>
      <c r="B167" s="6" t="s">
        <v>55</v>
      </c>
      <c r="C167" s="7">
        <v>45836</v>
      </c>
      <c r="D167" s="7">
        <v>45864</v>
      </c>
      <c r="E167" s="6" t="s">
        <v>16</v>
      </c>
      <c r="F167" s="6" t="s">
        <v>42</v>
      </c>
      <c r="G167" s="8">
        <v>345</v>
      </c>
      <c r="H167" s="9">
        <v>79.37</v>
      </c>
    </row>
    <row r="168" spans="1:8" x14ac:dyDescent="0.3">
      <c r="A168" s="6">
        <v>10414</v>
      </c>
      <c r="B168" s="6" t="s">
        <v>63</v>
      </c>
      <c r="C168" s="7">
        <v>45660</v>
      </c>
      <c r="D168" s="7">
        <v>45667</v>
      </c>
      <c r="E168" s="6" t="s">
        <v>16</v>
      </c>
      <c r="F168" s="6" t="s">
        <v>19</v>
      </c>
      <c r="G168" s="8">
        <v>667</v>
      </c>
      <c r="H168" s="9">
        <v>157.77000000000001</v>
      </c>
    </row>
    <row r="169" spans="1:8" x14ac:dyDescent="0.3">
      <c r="A169" s="6">
        <v>10415</v>
      </c>
      <c r="B169" s="6" t="s">
        <v>38</v>
      </c>
      <c r="C169" s="7">
        <v>45709</v>
      </c>
      <c r="D169" s="7">
        <v>45716</v>
      </c>
      <c r="E169" s="6" t="s">
        <v>9</v>
      </c>
      <c r="F169" s="6" t="s">
        <v>30</v>
      </c>
      <c r="G169" s="8">
        <v>345</v>
      </c>
      <c r="H169" s="9">
        <v>149.63</v>
      </c>
    </row>
    <row r="170" spans="1:8" x14ac:dyDescent="0.3">
      <c r="A170" s="6">
        <v>10416</v>
      </c>
      <c r="B170" s="6" t="s">
        <v>39</v>
      </c>
      <c r="C170" s="7">
        <v>45722</v>
      </c>
      <c r="D170" s="7">
        <v>45729</v>
      </c>
      <c r="E170" s="6" t="s">
        <v>14</v>
      </c>
      <c r="F170" s="6" t="s">
        <v>19</v>
      </c>
      <c r="G170" s="8">
        <v>667</v>
      </c>
      <c r="H170" s="9">
        <v>117.9</v>
      </c>
    </row>
    <row r="171" spans="1:8" x14ac:dyDescent="0.3">
      <c r="A171" s="6">
        <v>10417</v>
      </c>
      <c r="B171" s="6" t="s">
        <v>27</v>
      </c>
      <c r="C171" s="7">
        <v>45709</v>
      </c>
      <c r="D171" s="7">
        <v>45737</v>
      </c>
      <c r="E171" s="6" t="s">
        <v>14</v>
      </c>
      <c r="F171" s="6" t="s">
        <v>18</v>
      </c>
      <c r="G171" s="8">
        <v>23</v>
      </c>
      <c r="H171" s="9">
        <v>172.22</v>
      </c>
    </row>
    <row r="172" spans="1:8" x14ac:dyDescent="0.3">
      <c r="A172" s="6">
        <v>10418</v>
      </c>
      <c r="B172" s="6" t="s">
        <v>37</v>
      </c>
      <c r="C172" s="7">
        <v>45875</v>
      </c>
      <c r="D172" s="7">
        <v>45882</v>
      </c>
      <c r="E172" s="6" t="s">
        <v>16</v>
      </c>
      <c r="F172" s="6" t="s">
        <v>26</v>
      </c>
      <c r="G172" s="8">
        <v>667</v>
      </c>
      <c r="H172" s="9">
        <v>120.2</v>
      </c>
    </row>
    <row r="173" spans="1:8" x14ac:dyDescent="0.3">
      <c r="A173" s="6">
        <v>10419</v>
      </c>
      <c r="B173" s="6" t="s">
        <v>56</v>
      </c>
      <c r="C173" s="7">
        <v>45709</v>
      </c>
      <c r="D173" s="7">
        <v>45716</v>
      </c>
      <c r="E173" s="6" t="s">
        <v>14</v>
      </c>
      <c r="F173" s="6" t="s">
        <v>49</v>
      </c>
      <c r="G173" s="8">
        <v>44</v>
      </c>
      <c r="H173" s="9">
        <v>65.8</v>
      </c>
    </row>
    <row r="174" spans="1:8" x14ac:dyDescent="0.3">
      <c r="A174" s="6">
        <v>10420</v>
      </c>
      <c r="B174" s="6" t="s">
        <v>64</v>
      </c>
      <c r="C174" s="7">
        <v>45938</v>
      </c>
      <c r="D174" s="7">
        <v>45966</v>
      </c>
      <c r="E174" s="6" t="s">
        <v>16</v>
      </c>
      <c r="F174" s="6" t="s">
        <v>10</v>
      </c>
      <c r="G174" s="8">
        <v>445</v>
      </c>
      <c r="H174" s="9">
        <v>237.92</v>
      </c>
    </row>
    <row r="175" spans="1:8" x14ac:dyDescent="0.3">
      <c r="A175" s="6">
        <v>10421</v>
      </c>
      <c r="B175" s="6" t="s">
        <v>65</v>
      </c>
      <c r="C175" s="7">
        <v>45664</v>
      </c>
      <c r="D175" s="7">
        <v>45674</v>
      </c>
      <c r="E175" s="6" t="s">
        <v>16</v>
      </c>
      <c r="F175" s="6" t="s">
        <v>49</v>
      </c>
      <c r="G175" s="8">
        <v>56</v>
      </c>
      <c r="H175" s="9">
        <v>174.48</v>
      </c>
    </row>
    <row r="176" spans="1:8" x14ac:dyDescent="0.3">
      <c r="A176" s="6">
        <v>10422</v>
      </c>
      <c r="B176" s="6" t="s">
        <v>56</v>
      </c>
      <c r="C176" s="7">
        <v>45845</v>
      </c>
      <c r="D176" s="7">
        <v>45852</v>
      </c>
      <c r="E176" s="6" t="s">
        <v>9</v>
      </c>
      <c r="F176" s="6" t="s">
        <v>18</v>
      </c>
      <c r="G176" s="8">
        <v>1250</v>
      </c>
      <c r="H176" s="9">
        <v>192.66</v>
      </c>
    </row>
    <row r="177" spans="1:8" x14ac:dyDescent="0.3">
      <c r="A177" s="6">
        <v>10423</v>
      </c>
      <c r="B177" s="6" t="s">
        <v>27</v>
      </c>
      <c r="C177" s="7">
        <v>45794</v>
      </c>
      <c r="D177" s="7">
        <v>45808</v>
      </c>
      <c r="E177" s="6" t="s">
        <v>9</v>
      </c>
      <c r="F177" s="6" t="s">
        <v>24</v>
      </c>
      <c r="G177" s="8">
        <v>123</v>
      </c>
      <c r="H177" s="9">
        <v>60.4</v>
      </c>
    </row>
    <row r="178" spans="1:8" x14ac:dyDescent="0.3">
      <c r="A178" s="6">
        <v>10424</v>
      </c>
      <c r="B178" s="6" t="s">
        <v>48</v>
      </c>
      <c r="C178" s="7">
        <v>45927</v>
      </c>
      <c r="D178" s="7">
        <v>45937</v>
      </c>
      <c r="E178" s="6" t="s">
        <v>16</v>
      </c>
      <c r="F178" s="6" t="s">
        <v>17</v>
      </c>
      <c r="G178" s="8">
        <v>34</v>
      </c>
      <c r="H178" s="9">
        <v>139.99</v>
      </c>
    </row>
    <row r="179" spans="1:8" x14ac:dyDescent="0.3">
      <c r="A179" s="6">
        <v>10425</v>
      </c>
      <c r="B179" s="6" t="s">
        <v>20</v>
      </c>
      <c r="C179" s="7">
        <v>45787</v>
      </c>
      <c r="D179" s="7">
        <v>45815</v>
      </c>
      <c r="E179" s="6" t="s">
        <v>16</v>
      </c>
      <c r="F179" s="6" t="s">
        <v>49</v>
      </c>
      <c r="G179" s="8">
        <v>112</v>
      </c>
      <c r="H179" s="9">
        <v>53.96</v>
      </c>
    </row>
    <row r="180" spans="1:8" x14ac:dyDescent="0.3">
      <c r="A180" s="6">
        <v>10426</v>
      </c>
      <c r="B180" s="6" t="s">
        <v>39</v>
      </c>
      <c r="C180" s="7">
        <v>45885</v>
      </c>
      <c r="D180" s="7">
        <v>45895</v>
      </c>
      <c r="E180" s="6" t="s">
        <v>9</v>
      </c>
      <c r="F180" s="6" t="s">
        <v>54</v>
      </c>
      <c r="G180" s="8">
        <v>112</v>
      </c>
      <c r="H180" s="9">
        <v>79.540000000000006</v>
      </c>
    </row>
    <row r="181" spans="1:8" x14ac:dyDescent="0.3">
      <c r="A181" s="6">
        <v>10427</v>
      </c>
      <c r="B181" s="6" t="s">
        <v>38</v>
      </c>
      <c r="C181" s="7">
        <v>45785</v>
      </c>
      <c r="D181" s="7">
        <v>45792</v>
      </c>
      <c r="E181" s="6" t="s">
        <v>9</v>
      </c>
      <c r="F181" s="6" t="s">
        <v>57</v>
      </c>
      <c r="G181" s="8">
        <v>345</v>
      </c>
      <c r="H181" s="9">
        <v>175.05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3"/>
  <sheetViews>
    <sheetView showGridLines="0" workbookViewId="0">
      <selection activeCell="C16" sqref="C16"/>
    </sheetView>
  </sheetViews>
  <sheetFormatPr baseColWidth="10" defaultColWidth="9.109375" defaultRowHeight="14.4" x14ac:dyDescent="0.3"/>
  <cols>
    <col min="1" max="1" width="8.21875" bestFit="1" customWidth="1"/>
    <col min="2" max="2" width="24" customWidth="1"/>
    <col min="3" max="4" width="22" customWidth="1"/>
    <col min="5" max="5" width="20" customWidth="1"/>
    <col min="6" max="6" width="60" customWidth="1"/>
  </cols>
  <sheetData>
    <row r="2" spans="1:6" ht="23.4" x14ac:dyDescent="0.45">
      <c r="B2" s="1" t="s">
        <v>66</v>
      </c>
    </row>
    <row r="3" spans="1:6" ht="57.6" x14ac:dyDescent="0.3">
      <c r="B3" s="2" t="s">
        <v>67</v>
      </c>
    </row>
    <row r="5" spans="1:6" x14ac:dyDescent="0.3">
      <c r="B5" s="28" t="s">
        <v>68</v>
      </c>
      <c r="C5" s="29"/>
      <c r="D5" s="29"/>
      <c r="E5" s="29"/>
      <c r="F5" s="29"/>
    </row>
    <row r="7" spans="1:6" ht="30" customHeight="1" x14ac:dyDescent="0.3">
      <c r="A7" s="5" t="s">
        <v>4</v>
      </c>
      <c r="B7" s="5" t="s">
        <v>4</v>
      </c>
      <c r="C7" s="10" t="s">
        <v>4</v>
      </c>
      <c r="D7" s="10" t="s">
        <v>6</v>
      </c>
      <c r="F7" s="4" t="s">
        <v>69</v>
      </c>
    </row>
    <row r="8" spans="1:6" x14ac:dyDescent="0.3">
      <c r="C8" s="11" t="s">
        <v>16</v>
      </c>
      <c r="D8" s="11" t="s">
        <v>70</v>
      </c>
    </row>
    <row r="9" spans="1:6" ht="17.399999999999999" x14ac:dyDescent="0.35">
      <c r="B9" s="12" t="s">
        <v>71</v>
      </c>
      <c r="C9" s="13">
        <f>DSUM(BDPEDIDOS, "Importe", C7:D8)</f>
        <v>22248</v>
      </c>
    </row>
    <row r="12" spans="1:6" x14ac:dyDescent="0.3">
      <c r="B12" s="28" t="s">
        <v>72</v>
      </c>
      <c r="C12" s="29"/>
      <c r="D12" s="29"/>
      <c r="E12" s="29"/>
      <c r="F12" s="29"/>
    </row>
    <row r="14" spans="1:6" ht="30" customHeight="1" x14ac:dyDescent="0.3">
      <c r="C14" s="10" t="s">
        <v>5</v>
      </c>
      <c r="F14" s="4" t="s">
        <v>73</v>
      </c>
    </row>
    <row r="15" spans="1:6" x14ac:dyDescent="0.3">
      <c r="C15" s="11" t="s">
        <v>26</v>
      </c>
    </row>
    <row r="16" spans="1:6" ht="17.399999999999999" x14ac:dyDescent="0.35">
      <c r="B16" s="12" t="s">
        <v>71</v>
      </c>
      <c r="C16" s="14"/>
    </row>
    <row r="19" spans="2:6" x14ac:dyDescent="0.3">
      <c r="B19" s="28" t="s">
        <v>74</v>
      </c>
      <c r="C19" s="29"/>
      <c r="D19" s="29"/>
      <c r="E19" s="29"/>
      <c r="F19" s="29"/>
    </row>
    <row r="21" spans="2:6" x14ac:dyDescent="0.3">
      <c r="C21" s="10" t="s">
        <v>5</v>
      </c>
    </row>
    <row r="22" spans="2:6" x14ac:dyDescent="0.3">
      <c r="C22" s="11" t="s">
        <v>18</v>
      </c>
    </row>
    <row r="23" spans="2:6" ht="17.399999999999999" x14ac:dyDescent="0.35">
      <c r="B23" s="12" t="s">
        <v>71</v>
      </c>
      <c r="C23" s="15"/>
    </row>
  </sheetData>
  <mergeCells count="3">
    <mergeCell ref="B19:F19"/>
    <mergeCell ref="B12:F12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3"/>
  <sheetViews>
    <sheetView showGridLines="0" topLeftCell="A6" workbookViewId="0">
      <selection activeCell="D27" sqref="D27"/>
    </sheetView>
  </sheetViews>
  <sheetFormatPr baseColWidth="10" defaultColWidth="9.109375" defaultRowHeight="14.4" x14ac:dyDescent="0.3"/>
  <cols>
    <col min="1" max="1" width="2" customWidth="1"/>
    <col min="2" max="4" width="22" customWidth="1"/>
    <col min="5" max="5" width="18" customWidth="1"/>
    <col min="6" max="6" width="55" customWidth="1"/>
  </cols>
  <sheetData>
    <row r="2" spans="2:6" ht="23.4" x14ac:dyDescent="0.45">
      <c r="B2" s="1" t="s">
        <v>75</v>
      </c>
    </row>
    <row r="3" spans="2:6" ht="57.6" x14ac:dyDescent="0.3">
      <c r="B3" s="2" t="s">
        <v>76</v>
      </c>
    </row>
    <row r="5" spans="2:6" x14ac:dyDescent="0.3">
      <c r="B5" s="28" t="s">
        <v>77</v>
      </c>
      <c r="C5" s="29"/>
      <c r="D5" s="29"/>
      <c r="E5" s="29"/>
      <c r="F5" s="29"/>
    </row>
    <row r="7" spans="2:6" x14ac:dyDescent="0.3">
      <c r="C7" s="10" t="s">
        <v>5</v>
      </c>
    </row>
    <row r="8" spans="2:6" x14ac:dyDescent="0.3">
      <c r="C8" s="11" t="s">
        <v>54</v>
      </c>
    </row>
    <row r="9" spans="2:6" ht="17.399999999999999" x14ac:dyDescent="0.35">
      <c r="B9" s="12" t="s">
        <v>71</v>
      </c>
      <c r="C9" s="13"/>
    </row>
    <row r="12" spans="2:6" x14ac:dyDescent="0.3">
      <c r="B12" s="28" t="s">
        <v>78</v>
      </c>
      <c r="C12" s="29"/>
      <c r="D12" s="29"/>
      <c r="E12" s="29"/>
      <c r="F12" s="29"/>
    </row>
    <row r="14" spans="2:6" x14ac:dyDescent="0.3">
      <c r="C14" s="10" t="s">
        <v>4</v>
      </c>
    </row>
    <row r="15" spans="2:6" x14ac:dyDescent="0.3">
      <c r="C15" s="11" t="s">
        <v>9</v>
      </c>
    </row>
    <row r="16" spans="2:6" ht="17.399999999999999" x14ac:dyDescent="0.35">
      <c r="B16" s="12" t="s">
        <v>71</v>
      </c>
      <c r="C16" s="13"/>
    </row>
    <row r="19" spans="2:6" x14ac:dyDescent="0.3">
      <c r="B19" s="28" t="s">
        <v>79</v>
      </c>
      <c r="C19" s="29"/>
      <c r="D19" s="29"/>
      <c r="E19" s="29"/>
      <c r="F19" s="29"/>
    </row>
    <row r="21" spans="2:6" ht="43.2" x14ac:dyDescent="0.3">
      <c r="C21" s="10" t="s">
        <v>2</v>
      </c>
      <c r="D21" s="10" t="s">
        <v>2</v>
      </c>
      <c r="F21" s="4" t="s">
        <v>80</v>
      </c>
    </row>
    <row r="22" spans="2:6" x14ac:dyDescent="0.3">
      <c r="C22" s="11" t="s">
        <v>81</v>
      </c>
      <c r="D22" s="11" t="s">
        <v>82</v>
      </c>
    </row>
    <row r="23" spans="2:6" ht="17.399999999999999" x14ac:dyDescent="0.35">
      <c r="B23" s="12" t="s">
        <v>71</v>
      </c>
      <c r="C23" s="15"/>
    </row>
  </sheetData>
  <mergeCells count="3">
    <mergeCell ref="B19:F19"/>
    <mergeCell ref="B12:F12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5"/>
  <sheetViews>
    <sheetView showGridLines="0" workbookViewId="0"/>
  </sheetViews>
  <sheetFormatPr baseColWidth="10" defaultColWidth="9.109375" defaultRowHeight="14.4" x14ac:dyDescent="0.3"/>
  <cols>
    <col min="1" max="1" width="2" customWidth="1"/>
    <col min="2" max="3" width="22" customWidth="1"/>
    <col min="4" max="4" width="25" customWidth="1"/>
    <col min="5" max="5" width="20" customWidth="1"/>
    <col min="6" max="6" width="55" customWidth="1"/>
  </cols>
  <sheetData>
    <row r="2" spans="2:6" ht="23.4" x14ac:dyDescent="0.45">
      <c r="B2" s="1" t="s">
        <v>83</v>
      </c>
    </row>
    <row r="3" spans="2:6" ht="57.6" x14ac:dyDescent="0.3">
      <c r="B3" s="2" t="s">
        <v>84</v>
      </c>
    </row>
    <row r="5" spans="2:6" x14ac:dyDescent="0.3">
      <c r="B5" s="28" t="s">
        <v>85</v>
      </c>
      <c r="C5" s="29"/>
      <c r="D5" s="29"/>
      <c r="E5" s="29"/>
      <c r="F5" s="29"/>
    </row>
    <row r="7" spans="2:6" ht="90" customHeight="1" x14ac:dyDescent="0.3">
      <c r="C7" s="10" t="s">
        <v>0</v>
      </c>
      <c r="F7" s="4" t="s">
        <v>86</v>
      </c>
    </row>
    <row r="8" spans="2:6" x14ac:dyDescent="0.3">
      <c r="C8" s="16">
        <v>10350</v>
      </c>
    </row>
    <row r="10" spans="2:6" x14ac:dyDescent="0.3">
      <c r="B10" s="17" t="s">
        <v>87</v>
      </c>
      <c r="C10" s="17" t="s">
        <v>88</v>
      </c>
    </row>
    <row r="11" spans="2:6" x14ac:dyDescent="0.3">
      <c r="B11" s="6" t="s">
        <v>1</v>
      </c>
      <c r="C11" s="18"/>
    </row>
    <row r="12" spans="2:6" x14ac:dyDescent="0.3">
      <c r="B12" s="6" t="s">
        <v>89</v>
      </c>
      <c r="C12" s="18"/>
    </row>
    <row r="13" spans="2:6" x14ac:dyDescent="0.3">
      <c r="B13" s="6" t="s">
        <v>4</v>
      </c>
      <c r="C13" s="18"/>
    </row>
    <row r="14" spans="2:6" x14ac:dyDescent="0.3">
      <c r="B14" s="6" t="s">
        <v>6</v>
      </c>
      <c r="C14" s="19"/>
    </row>
    <row r="15" spans="2:6" x14ac:dyDescent="0.3">
      <c r="B15" s="6" t="s">
        <v>7</v>
      </c>
      <c r="C15" s="19"/>
    </row>
  </sheetData>
  <mergeCells count="1">
    <mergeCell ref="B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2"/>
  <sheetViews>
    <sheetView showGridLines="0" workbookViewId="0"/>
  </sheetViews>
  <sheetFormatPr baseColWidth="10" defaultColWidth="9.109375" defaultRowHeight="14.4" x14ac:dyDescent="0.3"/>
  <cols>
    <col min="1" max="1" width="2" customWidth="1"/>
    <col min="2" max="2" width="24" customWidth="1"/>
    <col min="3" max="5" width="22" customWidth="1"/>
    <col min="6" max="6" width="55" customWidth="1"/>
  </cols>
  <sheetData>
    <row r="2" spans="2:6" ht="23.4" x14ac:dyDescent="0.45">
      <c r="B2" s="1" t="s">
        <v>90</v>
      </c>
    </row>
    <row r="3" spans="2:6" ht="57.6" x14ac:dyDescent="0.3">
      <c r="B3" s="2" t="s">
        <v>91</v>
      </c>
    </row>
    <row r="5" spans="2:6" x14ac:dyDescent="0.3">
      <c r="B5" s="28" t="s">
        <v>92</v>
      </c>
      <c r="C5" s="29"/>
      <c r="D5" s="29"/>
      <c r="E5" s="29"/>
      <c r="F5" s="29"/>
    </row>
    <row r="7" spans="2:6" ht="35.1" customHeight="1" x14ac:dyDescent="0.3">
      <c r="C7" s="10" t="s">
        <v>1</v>
      </c>
      <c r="F7" s="4" t="s">
        <v>93</v>
      </c>
    </row>
    <row r="8" spans="2:6" x14ac:dyDescent="0.3">
      <c r="C8" s="11" t="s">
        <v>94</v>
      </c>
    </row>
    <row r="9" spans="2:6" x14ac:dyDescent="0.3">
      <c r="C9" s="11" t="s">
        <v>95</v>
      </c>
    </row>
    <row r="10" spans="2:6" ht="17.399999999999999" x14ac:dyDescent="0.35">
      <c r="B10" s="12" t="s">
        <v>96</v>
      </c>
      <c r="C10" s="20"/>
    </row>
    <row r="13" spans="2:6" x14ac:dyDescent="0.3">
      <c r="B13" s="28" t="s">
        <v>97</v>
      </c>
      <c r="C13" s="29"/>
      <c r="D13" s="29"/>
      <c r="E13" s="29"/>
      <c r="F13" s="29"/>
    </row>
    <row r="15" spans="2:6" ht="28.8" x14ac:dyDescent="0.3">
      <c r="C15" s="10" t="s">
        <v>5</v>
      </c>
      <c r="D15" s="10" t="s">
        <v>7</v>
      </c>
      <c r="F15" s="4" t="s">
        <v>98</v>
      </c>
    </row>
    <row r="16" spans="2:6" x14ac:dyDescent="0.3">
      <c r="C16" s="11" t="s">
        <v>26</v>
      </c>
      <c r="D16" s="11" t="s">
        <v>99</v>
      </c>
    </row>
    <row r="17" spans="2:6" x14ac:dyDescent="0.3">
      <c r="C17" s="11" t="s">
        <v>34</v>
      </c>
      <c r="D17" s="11" t="s">
        <v>99</v>
      </c>
    </row>
    <row r="18" spans="2:6" ht="17.399999999999999" x14ac:dyDescent="0.35">
      <c r="B18" s="12" t="s">
        <v>100</v>
      </c>
      <c r="C18" s="13"/>
    </row>
    <row r="21" spans="2:6" x14ac:dyDescent="0.3">
      <c r="B21" s="28" t="s">
        <v>101</v>
      </c>
      <c r="C21" s="29"/>
      <c r="D21" s="29"/>
      <c r="E21" s="29"/>
      <c r="F21" s="29"/>
    </row>
    <row r="23" spans="2:6" x14ac:dyDescent="0.3">
      <c r="C23" s="10" t="s">
        <v>2</v>
      </c>
      <c r="D23" s="10" t="s">
        <v>2</v>
      </c>
    </row>
    <row r="24" spans="2:6" x14ac:dyDescent="0.3">
      <c r="C24" s="11" t="s">
        <v>102</v>
      </c>
      <c r="D24" s="11" t="s">
        <v>103</v>
      </c>
    </row>
    <row r="25" spans="2:6" ht="17.399999999999999" x14ac:dyDescent="0.35">
      <c r="B25" s="12" t="s">
        <v>96</v>
      </c>
      <c r="C25" s="20"/>
    </row>
    <row r="28" spans="2:6" x14ac:dyDescent="0.3">
      <c r="B28" s="28" t="s">
        <v>104</v>
      </c>
      <c r="C28" s="29"/>
      <c r="D28" s="29"/>
      <c r="E28" s="29"/>
      <c r="F28" s="29"/>
    </row>
    <row r="30" spans="2:6" ht="50.1" customHeight="1" x14ac:dyDescent="0.3">
      <c r="C30" s="10" t="s">
        <v>1</v>
      </c>
      <c r="F30" s="4" t="s">
        <v>105</v>
      </c>
    </row>
    <row r="31" spans="2:6" x14ac:dyDescent="0.3">
      <c r="C31" s="11" t="s">
        <v>106</v>
      </c>
    </row>
    <row r="32" spans="2:6" ht="17.399999999999999" x14ac:dyDescent="0.35">
      <c r="B32" s="12" t="s">
        <v>96</v>
      </c>
      <c r="C32" s="20"/>
    </row>
  </sheetData>
  <mergeCells count="4">
    <mergeCell ref="B21:F21"/>
    <mergeCell ref="B28:F28"/>
    <mergeCell ref="B13:F13"/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5"/>
  <sheetViews>
    <sheetView showGridLines="0" tabSelected="1" topLeftCell="A9" workbookViewId="0">
      <selection activeCell="E9" sqref="E9"/>
    </sheetView>
  </sheetViews>
  <sheetFormatPr baseColWidth="10" defaultColWidth="9.109375" defaultRowHeight="14.4" x14ac:dyDescent="0.3"/>
  <cols>
    <col min="1" max="1" width="2" customWidth="1"/>
    <col min="2" max="2" width="30" customWidth="1"/>
    <col min="3" max="3" width="29.109375" bestFit="1" customWidth="1"/>
    <col min="4" max="5" width="18" customWidth="1"/>
    <col min="6" max="6" width="55" customWidth="1"/>
  </cols>
  <sheetData>
    <row r="2" spans="1:6" ht="23.4" x14ac:dyDescent="0.45">
      <c r="B2" s="1" t="s">
        <v>107</v>
      </c>
    </row>
    <row r="3" spans="1:6" ht="43.2" x14ac:dyDescent="0.3">
      <c r="B3" s="2" t="s">
        <v>108</v>
      </c>
    </row>
    <row r="5" spans="1:6" x14ac:dyDescent="0.3">
      <c r="B5" s="28" t="s">
        <v>109</v>
      </c>
      <c r="C5" s="29"/>
      <c r="D5" s="29"/>
      <c r="E5" s="29"/>
      <c r="F5" s="29"/>
    </row>
    <row r="7" spans="1:6" ht="43.2" x14ac:dyDescent="0.3">
      <c r="B7" s="21" t="s">
        <v>110</v>
      </c>
    </row>
    <row r="8" spans="1:6" ht="43.2" x14ac:dyDescent="0.3">
      <c r="B8" s="21" t="s">
        <v>111</v>
      </c>
    </row>
    <row r="9" spans="1:6" ht="72" x14ac:dyDescent="0.3">
      <c r="B9" s="22" t="s">
        <v>112</v>
      </c>
    </row>
    <row r="12" spans="1:6" x14ac:dyDescent="0.3">
      <c r="B12" s="31" t="s">
        <v>113</v>
      </c>
      <c r="C12" s="29"/>
      <c r="D12" s="29"/>
      <c r="E12" s="29"/>
      <c r="F12" s="29"/>
    </row>
    <row r="14" spans="1:6" x14ac:dyDescent="0.3">
      <c r="A14" s="5"/>
      <c r="B14" s="5" t="s">
        <v>114</v>
      </c>
      <c r="C14" s="5" t="s">
        <v>115</v>
      </c>
      <c r="D14" s="5" t="s">
        <v>116</v>
      </c>
    </row>
    <row r="15" spans="1:6" ht="69.900000000000006" customHeight="1" x14ac:dyDescent="0.3">
      <c r="B15" s="23" t="s">
        <v>117</v>
      </c>
      <c r="C15" s="32" t="s">
        <v>178</v>
      </c>
      <c r="D15" s="19"/>
      <c r="F15" s="4" t="s">
        <v>118</v>
      </c>
    </row>
    <row r="16" spans="1:6" x14ac:dyDescent="0.3">
      <c r="B16" s="23" t="s">
        <v>119</v>
      </c>
      <c r="C16" s="32" t="s">
        <v>179</v>
      </c>
      <c r="D16" s="19"/>
    </row>
    <row r="17" spans="2:6" x14ac:dyDescent="0.3">
      <c r="B17" s="23" t="s">
        <v>120</v>
      </c>
      <c r="C17" s="32" t="s">
        <v>180</v>
      </c>
      <c r="D17" s="19"/>
    </row>
    <row r="18" spans="2:6" x14ac:dyDescent="0.3">
      <c r="B18" s="23" t="s">
        <v>121</v>
      </c>
      <c r="C18" s="32" t="s">
        <v>181</v>
      </c>
      <c r="D18" s="19"/>
    </row>
    <row r="19" spans="2:6" x14ac:dyDescent="0.3">
      <c r="B19" s="23" t="s">
        <v>122</v>
      </c>
      <c r="C19" s="32" t="s">
        <v>182</v>
      </c>
      <c r="D19" s="24"/>
    </row>
    <row r="20" spans="2:6" x14ac:dyDescent="0.3">
      <c r="B20" s="23" t="s">
        <v>123</v>
      </c>
      <c r="C20" s="32" t="s">
        <v>183</v>
      </c>
      <c r="D20" s="25"/>
    </row>
    <row r="21" spans="2:6" x14ac:dyDescent="0.3">
      <c r="B21" s="23" t="s">
        <v>124</v>
      </c>
      <c r="C21" s="32" t="s">
        <v>184</v>
      </c>
      <c r="D21" s="25"/>
    </row>
    <row r="24" spans="2:6" x14ac:dyDescent="0.3">
      <c r="B24" s="30" t="s">
        <v>125</v>
      </c>
      <c r="C24" s="29"/>
      <c r="D24" s="29"/>
      <c r="E24" s="29"/>
      <c r="F24" s="29"/>
    </row>
    <row r="25" spans="2:6" ht="72" x14ac:dyDescent="0.3">
      <c r="B25" s="4" t="s">
        <v>126</v>
      </c>
    </row>
  </sheetData>
  <mergeCells count="3">
    <mergeCell ref="B24:F24"/>
    <mergeCell ref="B12:F12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185"/>
  <sheetViews>
    <sheetView showGridLines="0" workbookViewId="0">
      <pane ySplit="5" topLeftCell="A6" activePane="bottomLeft" state="frozen"/>
      <selection pane="bottomLeft" activeCell="E17" sqref="E17"/>
    </sheetView>
  </sheetViews>
  <sheetFormatPr baseColWidth="10" defaultColWidth="9.109375" defaultRowHeight="14.4" x14ac:dyDescent="0.3"/>
  <cols>
    <col min="1" max="1" width="12" customWidth="1"/>
    <col min="2" max="2" width="32" customWidth="1"/>
    <col min="3" max="4" width="16" customWidth="1"/>
    <col min="5" max="5" width="20" customWidth="1"/>
    <col min="6" max="6" width="22" customWidth="1"/>
    <col min="7" max="8" width="12" customWidth="1"/>
  </cols>
  <sheetData>
    <row r="2" spans="1:8" ht="23.4" x14ac:dyDescent="0.45">
      <c r="B2" s="1" t="s">
        <v>127</v>
      </c>
    </row>
    <row r="3" spans="1:8" ht="43.2" x14ac:dyDescent="0.3">
      <c r="B3" s="2" t="s">
        <v>128</v>
      </c>
    </row>
    <row r="5" spans="1:8" ht="28.8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spans="1:8" x14ac:dyDescent="0.3">
      <c r="A6" s="6">
        <v>10257</v>
      </c>
      <c r="B6" s="6" t="s">
        <v>25</v>
      </c>
      <c r="C6" s="7">
        <v>45671</v>
      </c>
      <c r="D6" s="7">
        <v>45699</v>
      </c>
      <c r="E6" s="6" t="s">
        <v>14</v>
      </c>
      <c r="F6" s="6" t="s">
        <v>26</v>
      </c>
      <c r="G6" s="8">
        <v>987</v>
      </c>
      <c r="H6" s="9">
        <v>221.99</v>
      </c>
    </row>
    <row r="7" spans="1:8" x14ac:dyDescent="0.3">
      <c r="A7" s="6">
        <v>10289</v>
      </c>
      <c r="B7" s="6" t="s">
        <v>56</v>
      </c>
      <c r="C7" s="7">
        <v>45869</v>
      </c>
      <c r="D7" s="7">
        <v>45883</v>
      </c>
      <c r="E7" s="6" t="s">
        <v>14</v>
      </c>
      <c r="F7" s="6" t="s">
        <v>26</v>
      </c>
      <c r="G7" s="8">
        <v>56</v>
      </c>
      <c r="H7" s="9">
        <v>60.72</v>
      </c>
    </row>
    <row r="8" spans="1:8" x14ac:dyDescent="0.3">
      <c r="A8" s="6">
        <v>10378</v>
      </c>
      <c r="B8" s="6" t="s">
        <v>23</v>
      </c>
      <c r="C8" s="7">
        <v>45850</v>
      </c>
      <c r="D8" s="7">
        <v>45857</v>
      </c>
      <c r="E8" s="6" t="s">
        <v>14</v>
      </c>
      <c r="F8" s="6" t="s">
        <v>26</v>
      </c>
      <c r="G8" s="8">
        <v>88</v>
      </c>
      <c r="H8" s="9">
        <v>177.39</v>
      </c>
    </row>
    <row r="9" spans="1:8" x14ac:dyDescent="0.3">
      <c r="A9" s="6">
        <v>10379</v>
      </c>
      <c r="B9" s="6" t="s">
        <v>37</v>
      </c>
      <c r="C9" s="7">
        <v>45946</v>
      </c>
      <c r="D9" s="7">
        <v>45953</v>
      </c>
      <c r="E9" s="6" t="s">
        <v>9</v>
      </c>
      <c r="F9" s="6" t="s">
        <v>26</v>
      </c>
      <c r="G9" s="8">
        <v>445</v>
      </c>
      <c r="H9" s="9">
        <v>240.08</v>
      </c>
    </row>
    <row r="10" spans="1:8" x14ac:dyDescent="0.3">
      <c r="A10" s="6">
        <v>10418</v>
      </c>
      <c r="B10" s="6" t="s">
        <v>37</v>
      </c>
      <c r="C10" s="7">
        <v>45875</v>
      </c>
      <c r="D10" s="7">
        <v>45882</v>
      </c>
      <c r="E10" s="6" t="s">
        <v>16</v>
      </c>
      <c r="F10" s="6" t="s">
        <v>26</v>
      </c>
      <c r="G10" s="8">
        <v>667</v>
      </c>
      <c r="H10" s="9">
        <v>120.2</v>
      </c>
    </row>
    <row r="11" spans="1:8" x14ac:dyDescent="0.3">
      <c r="A11" s="6">
        <v>10260</v>
      </c>
      <c r="B11" s="6" t="s">
        <v>8</v>
      </c>
      <c r="C11" s="7">
        <v>45816</v>
      </c>
      <c r="D11" s="7">
        <v>45844</v>
      </c>
      <c r="E11" s="6" t="s">
        <v>9</v>
      </c>
      <c r="F11" s="6" t="s">
        <v>30</v>
      </c>
      <c r="G11" s="8">
        <v>466</v>
      </c>
      <c r="H11" s="9">
        <v>109.68</v>
      </c>
    </row>
    <row r="12" spans="1:8" x14ac:dyDescent="0.3">
      <c r="A12" s="6">
        <v>10274</v>
      </c>
      <c r="B12" s="6" t="s">
        <v>47</v>
      </c>
      <c r="C12" s="7">
        <v>45814</v>
      </c>
      <c r="D12" s="7">
        <v>45835</v>
      </c>
      <c r="E12" s="6" t="s">
        <v>14</v>
      </c>
      <c r="F12" s="6" t="s">
        <v>30</v>
      </c>
      <c r="G12" s="8">
        <v>667</v>
      </c>
      <c r="H12" s="9">
        <v>143.97999999999999</v>
      </c>
    </row>
    <row r="13" spans="1:8" x14ac:dyDescent="0.3">
      <c r="A13" s="6">
        <v>10317</v>
      </c>
      <c r="B13" s="6" t="s">
        <v>55</v>
      </c>
      <c r="C13" s="7">
        <v>45786</v>
      </c>
      <c r="D13" s="7">
        <v>45796</v>
      </c>
      <c r="E13" s="6" t="s">
        <v>16</v>
      </c>
      <c r="F13" s="6" t="s">
        <v>30</v>
      </c>
      <c r="G13" s="8">
        <v>56</v>
      </c>
      <c r="H13" s="9">
        <v>218.81</v>
      </c>
    </row>
    <row r="14" spans="1:8" x14ac:dyDescent="0.3">
      <c r="A14" s="6">
        <v>10320</v>
      </c>
      <c r="B14" s="6" t="s">
        <v>63</v>
      </c>
      <c r="C14" s="7">
        <v>45835</v>
      </c>
      <c r="D14" s="7">
        <v>45842</v>
      </c>
      <c r="E14" s="6" t="s">
        <v>14</v>
      </c>
      <c r="F14" s="6" t="s">
        <v>30</v>
      </c>
      <c r="G14" s="8">
        <v>123</v>
      </c>
      <c r="H14" s="9">
        <v>68.16</v>
      </c>
    </row>
    <row r="15" spans="1:8" x14ac:dyDescent="0.3">
      <c r="A15" s="6">
        <v>10330</v>
      </c>
      <c r="B15" s="6" t="s">
        <v>56</v>
      </c>
      <c r="C15" s="7">
        <v>45725</v>
      </c>
      <c r="D15" s="7">
        <v>45739</v>
      </c>
      <c r="E15" s="6" t="s">
        <v>16</v>
      </c>
      <c r="F15" s="6" t="s">
        <v>30</v>
      </c>
      <c r="G15" s="8">
        <v>345</v>
      </c>
      <c r="H15" s="9">
        <v>5.41</v>
      </c>
    </row>
    <row r="16" spans="1:8" x14ac:dyDescent="0.3">
      <c r="A16" s="6">
        <v>10345</v>
      </c>
      <c r="B16" s="6" t="s">
        <v>15</v>
      </c>
      <c r="C16" s="7">
        <v>45723</v>
      </c>
      <c r="D16" s="7">
        <v>45751</v>
      </c>
      <c r="E16" s="6" t="s">
        <v>16</v>
      </c>
      <c r="F16" s="6" t="s">
        <v>30</v>
      </c>
      <c r="G16" s="8">
        <v>66</v>
      </c>
      <c r="H16" s="9">
        <v>140.82</v>
      </c>
    </row>
    <row r="17" spans="1:8" x14ac:dyDescent="0.3">
      <c r="A17" s="6">
        <v>10370</v>
      </c>
      <c r="B17" s="6" t="s">
        <v>56</v>
      </c>
      <c r="C17" s="7">
        <v>45922</v>
      </c>
      <c r="D17" s="7">
        <v>45936</v>
      </c>
      <c r="E17" s="6" t="s">
        <v>14</v>
      </c>
      <c r="F17" s="6" t="s">
        <v>30</v>
      </c>
      <c r="G17" s="8">
        <v>99</v>
      </c>
      <c r="H17" s="9">
        <v>149.93</v>
      </c>
    </row>
    <row r="18" spans="1:8" x14ac:dyDescent="0.3">
      <c r="A18" s="6">
        <v>10371</v>
      </c>
      <c r="B18" s="6" t="s">
        <v>21</v>
      </c>
      <c r="C18" s="7">
        <v>45883</v>
      </c>
      <c r="D18" s="7">
        <v>45893</v>
      </c>
      <c r="E18" s="6" t="s">
        <v>9</v>
      </c>
      <c r="F18" s="6" t="s">
        <v>30</v>
      </c>
      <c r="G18" s="8">
        <v>1250</v>
      </c>
      <c r="H18" s="9">
        <v>96.95</v>
      </c>
    </row>
    <row r="19" spans="1:8" x14ac:dyDescent="0.3">
      <c r="A19" s="6">
        <v>10380</v>
      </c>
      <c r="B19" s="6" t="s">
        <v>33</v>
      </c>
      <c r="C19" s="7">
        <v>45898</v>
      </c>
      <c r="D19" s="7">
        <v>45926</v>
      </c>
      <c r="E19" s="6" t="s">
        <v>14</v>
      </c>
      <c r="F19" s="6" t="s">
        <v>30</v>
      </c>
      <c r="G19" s="8">
        <v>34</v>
      </c>
      <c r="H19" s="9">
        <v>74.599999999999994</v>
      </c>
    </row>
    <row r="20" spans="1:8" x14ac:dyDescent="0.3">
      <c r="A20" s="6">
        <v>10383</v>
      </c>
      <c r="B20" s="6" t="s">
        <v>61</v>
      </c>
      <c r="C20" s="7">
        <v>45923</v>
      </c>
      <c r="D20" s="7">
        <v>45951</v>
      </c>
      <c r="E20" s="6" t="s">
        <v>14</v>
      </c>
      <c r="F20" s="6" t="s">
        <v>30</v>
      </c>
      <c r="G20" s="8">
        <v>34</v>
      </c>
      <c r="H20" s="9">
        <v>136.56</v>
      </c>
    </row>
    <row r="21" spans="1:8" x14ac:dyDescent="0.3">
      <c r="A21" s="6">
        <v>10388</v>
      </c>
      <c r="B21" s="6" t="s">
        <v>48</v>
      </c>
      <c r="C21" s="7">
        <v>45725</v>
      </c>
      <c r="D21" s="7">
        <v>45753</v>
      </c>
      <c r="E21" s="6" t="s">
        <v>14</v>
      </c>
      <c r="F21" s="6" t="s">
        <v>30</v>
      </c>
      <c r="G21" s="8">
        <v>66</v>
      </c>
      <c r="H21" s="9">
        <v>172.46</v>
      </c>
    </row>
    <row r="22" spans="1:8" x14ac:dyDescent="0.3">
      <c r="A22" s="6">
        <v>10394</v>
      </c>
      <c r="B22" s="6" t="s">
        <v>8</v>
      </c>
      <c r="C22" s="7">
        <v>45740</v>
      </c>
      <c r="D22" s="7">
        <v>45768</v>
      </c>
      <c r="E22" s="6" t="s">
        <v>9</v>
      </c>
      <c r="F22" s="6" t="s">
        <v>30</v>
      </c>
      <c r="G22" s="8">
        <v>56</v>
      </c>
      <c r="H22" s="9">
        <v>19.21</v>
      </c>
    </row>
    <row r="23" spans="1:8" x14ac:dyDescent="0.3">
      <c r="A23" s="6">
        <v>10405</v>
      </c>
      <c r="B23" s="6" t="s">
        <v>60</v>
      </c>
      <c r="C23" s="7">
        <v>45723</v>
      </c>
      <c r="D23" s="7">
        <v>45744</v>
      </c>
      <c r="E23" s="6" t="s">
        <v>9</v>
      </c>
      <c r="F23" s="6" t="s">
        <v>30</v>
      </c>
      <c r="G23" s="8">
        <v>34</v>
      </c>
      <c r="H23" s="9">
        <v>153.93</v>
      </c>
    </row>
    <row r="24" spans="1:8" x14ac:dyDescent="0.3">
      <c r="A24" s="6">
        <v>10415</v>
      </c>
      <c r="B24" s="6" t="s">
        <v>38</v>
      </c>
      <c r="C24" s="7">
        <v>45709</v>
      </c>
      <c r="D24" s="7">
        <v>45716</v>
      </c>
      <c r="E24" s="6" t="s">
        <v>9</v>
      </c>
      <c r="F24" s="6" t="s">
        <v>30</v>
      </c>
      <c r="G24" s="8">
        <v>345</v>
      </c>
      <c r="H24" s="9">
        <v>149.63</v>
      </c>
    </row>
    <row r="25" spans="1:8" x14ac:dyDescent="0.3">
      <c r="A25" s="6">
        <v>10269</v>
      </c>
      <c r="B25" s="6" t="s">
        <v>41</v>
      </c>
      <c r="C25" s="7">
        <v>45953</v>
      </c>
      <c r="D25" s="7">
        <v>45974</v>
      </c>
      <c r="E25" s="6" t="s">
        <v>9</v>
      </c>
      <c r="F25" s="6" t="s">
        <v>42</v>
      </c>
      <c r="G25" s="8">
        <v>789</v>
      </c>
      <c r="H25" s="9">
        <v>148.01</v>
      </c>
    </row>
    <row r="26" spans="1:8" x14ac:dyDescent="0.3">
      <c r="A26" s="6">
        <v>10299</v>
      </c>
      <c r="B26" s="6" t="s">
        <v>56</v>
      </c>
      <c r="C26" s="7">
        <v>45852</v>
      </c>
      <c r="D26" s="7">
        <v>45862</v>
      </c>
      <c r="E26" s="6" t="s">
        <v>9</v>
      </c>
      <c r="F26" s="6" t="s">
        <v>42</v>
      </c>
      <c r="G26" s="8">
        <v>66</v>
      </c>
      <c r="H26" s="9">
        <v>47.91</v>
      </c>
    </row>
    <row r="27" spans="1:8" x14ac:dyDescent="0.3">
      <c r="A27" s="6">
        <v>10333</v>
      </c>
      <c r="B27" s="6" t="s">
        <v>59</v>
      </c>
      <c r="C27" s="7">
        <v>45664</v>
      </c>
      <c r="D27" s="7">
        <v>45671</v>
      </c>
      <c r="E27" s="6" t="s">
        <v>16</v>
      </c>
      <c r="F27" s="6" t="s">
        <v>42</v>
      </c>
      <c r="G27" s="8">
        <v>667</v>
      </c>
      <c r="H27" s="9">
        <v>53.58</v>
      </c>
    </row>
    <row r="28" spans="1:8" x14ac:dyDescent="0.3">
      <c r="A28" s="6">
        <v>10413</v>
      </c>
      <c r="B28" s="6" t="s">
        <v>55</v>
      </c>
      <c r="C28" s="7">
        <v>45836</v>
      </c>
      <c r="D28" s="7">
        <v>45864</v>
      </c>
      <c r="E28" s="6" t="s">
        <v>16</v>
      </c>
      <c r="F28" s="6" t="s">
        <v>42</v>
      </c>
      <c r="G28" s="8">
        <v>345</v>
      </c>
      <c r="H28" s="9">
        <v>79.37</v>
      </c>
    </row>
    <row r="29" spans="1:8" x14ac:dyDescent="0.3">
      <c r="A29" s="6">
        <v>10252</v>
      </c>
      <c r="B29" s="6" t="s">
        <v>8</v>
      </c>
      <c r="C29" s="7">
        <v>45841</v>
      </c>
      <c r="D29" s="7">
        <v>45862</v>
      </c>
      <c r="E29" s="6" t="s">
        <v>9</v>
      </c>
      <c r="F29" s="6" t="s">
        <v>18</v>
      </c>
      <c r="G29" s="8">
        <v>345</v>
      </c>
      <c r="H29" s="9">
        <v>24.69</v>
      </c>
    </row>
    <row r="30" spans="1:8" x14ac:dyDescent="0.3">
      <c r="A30" s="6">
        <v>10254</v>
      </c>
      <c r="B30" s="6" t="s">
        <v>20</v>
      </c>
      <c r="C30" s="7">
        <v>45847</v>
      </c>
      <c r="D30" s="7">
        <v>45861</v>
      </c>
      <c r="E30" s="6" t="s">
        <v>16</v>
      </c>
      <c r="F30" s="6" t="s">
        <v>18</v>
      </c>
      <c r="G30" s="8">
        <v>466</v>
      </c>
      <c r="H30" s="9">
        <v>223.01</v>
      </c>
    </row>
    <row r="31" spans="1:8" x14ac:dyDescent="0.3">
      <c r="A31" s="6">
        <v>10266</v>
      </c>
      <c r="B31" s="6" t="s">
        <v>37</v>
      </c>
      <c r="C31" s="7">
        <v>45869</v>
      </c>
      <c r="D31" s="7">
        <v>45879</v>
      </c>
      <c r="E31" s="6" t="s">
        <v>14</v>
      </c>
      <c r="F31" s="6" t="s">
        <v>18</v>
      </c>
      <c r="G31" s="8">
        <v>23</v>
      </c>
      <c r="H31" s="9">
        <v>114.18</v>
      </c>
    </row>
    <row r="32" spans="1:8" x14ac:dyDescent="0.3">
      <c r="A32" s="6">
        <v>10357</v>
      </c>
      <c r="B32" s="6" t="s">
        <v>38</v>
      </c>
      <c r="C32" s="7">
        <v>45705</v>
      </c>
      <c r="D32" s="7">
        <v>45715</v>
      </c>
      <c r="E32" s="6" t="s">
        <v>14</v>
      </c>
      <c r="F32" s="6" t="s">
        <v>18</v>
      </c>
      <c r="G32" s="8">
        <v>445</v>
      </c>
      <c r="H32" s="9">
        <v>179.41</v>
      </c>
    </row>
    <row r="33" spans="1:8" x14ac:dyDescent="0.3">
      <c r="A33" s="6">
        <v>10364</v>
      </c>
      <c r="B33" s="6" t="s">
        <v>13</v>
      </c>
      <c r="C33" s="7">
        <v>45709</v>
      </c>
      <c r="D33" s="7">
        <v>45723</v>
      </c>
      <c r="E33" s="6" t="s">
        <v>14</v>
      </c>
      <c r="F33" s="6" t="s">
        <v>18</v>
      </c>
      <c r="G33" s="8">
        <v>1250</v>
      </c>
      <c r="H33" s="9">
        <v>12.86</v>
      </c>
    </row>
    <row r="34" spans="1:8" x14ac:dyDescent="0.3">
      <c r="A34" s="6">
        <v>10384</v>
      </c>
      <c r="B34" s="6" t="s">
        <v>50</v>
      </c>
      <c r="C34" s="7">
        <v>45775</v>
      </c>
      <c r="D34" s="7">
        <v>45803</v>
      </c>
      <c r="E34" s="6" t="s">
        <v>16</v>
      </c>
      <c r="F34" s="6" t="s">
        <v>18</v>
      </c>
      <c r="G34" s="8">
        <v>99</v>
      </c>
      <c r="H34" s="9">
        <v>10.28</v>
      </c>
    </row>
    <row r="35" spans="1:8" x14ac:dyDescent="0.3">
      <c r="A35" s="6">
        <v>10417</v>
      </c>
      <c r="B35" s="6" t="s">
        <v>27</v>
      </c>
      <c r="C35" s="7">
        <v>45709</v>
      </c>
      <c r="D35" s="7">
        <v>45737</v>
      </c>
      <c r="E35" s="6" t="s">
        <v>14</v>
      </c>
      <c r="F35" s="6" t="s">
        <v>18</v>
      </c>
      <c r="G35" s="8">
        <v>23</v>
      </c>
      <c r="H35" s="9">
        <v>172.22</v>
      </c>
    </row>
    <row r="36" spans="1:8" x14ac:dyDescent="0.3">
      <c r="A36" s="6">
        <v>10422</v>
      </c>
      <c r="B36" s="6" t="s">
        <v>56</v>
      </c>
      <c r="C36" s="7">
        <v>45845</v>
      </c>
      <c r="D36" s="7">
        <v>45852</v>
      </c>
      <c r="E36" s="6" t="s">
        <v>9</v>
      </c>
      <c r="F36" s="6" t="s">
        <v>18</v>
      </c>
      <c r="G36" s="8">
        <v>1250</v>
      </c>
      <c r="H36" s="9">
        <v>192.66</v>
      </c>
    </row>
    <row r="37" spans="1:8" x14ac:dyDescent="0.3">
      <c r="A37" s="6">
        <v>10253</v>
      </c>
      <c r="B37" s="6" t="s">
        <v>13</v>
      </c>
      <c r="C37" s="7">
        <v>45934</v>
      </c>
      <c r="D37" s="7">
        <v>45948</v>
      </c>
      <c r="E37" s="6" t="s">
        <v>16</v>
      </c>
      <c r="F37" s="6" t="s">
        <v>19</v>
      </c>
      <c r="G37" s="8">
        <v>1250</v>
      </c>
      <c r="H37" s="9">
        <v>78.98</v>
      </c>
    </row>
    <row r="38" spans="1:8" x14ac:dyDescent="0.3">
      <c r="A38" s="6">
        <v>10258</v>
      </c>
      <c r="B38" s="6" t="s">
        <v>27</v>
      </c>
      <c r="C38" s="7">
        <v>45711</v>
      </c>
      <c r="D38" s="7">
        <v>45739</v>
      </c>
      <c r="E38" s="6" t="s">
        <v>16</v>
      </c>
      <c r="F38" s="6" t="s">
        <v>19</v>
      </c>
      <c r="G38" s="8">
        <v>789</v>
      </c>
      <c r="H38" s="9">
        <v>221.37</v>
      </c>
    </row>
    <row r="39" spans="1:8" x14ac:dyDescent="0.3">
      <c r="A39" s="6">
        <v>10261</v>
      </c>
      <c r="B39" s="6" t="s">
        <v>31</v>
      </c>
      <c r="C39" s="7">
        <v>45809</v>
      </c>
      <c r="D39" s="7">
        <v>45823</v>
      </c>
      <c r="E39" s="6" t="s">
        <v>14</v>
      </c>
      <c r="F39" s="6" t="s">
        <v>19</v>
      </c>
      <c r="G39" s="8">
        <v>1500</v>
      </c>
      <c r="H39" s="9">
        <v>240.27</v>
      </c>
    </row>
    <row r="40" spans="1:8" x14ac:dyDescent="0.3">
      <c r="A40" s="6">
        <v>10298</v>
      </c>
      <c r="B40" s="6" t="s">
        <v>27</v>
      </c>
      <c r="C40" s="7">
        <v>45813</v>
      </c>
      <c r="D40" s="7">
        <v>45820</v>
      </c>
      <c r="E40" s="6" t="s">
        <v>9</v>
      </c>
      <c r="F40" s="6" t="s">
        <v>19</v>
      </c>
      <c r="G40" s="8">
        <v>445</v>
      </c>
      <c r="H40" s="9">
        <v>105.29</v>
      </c>
    </row>
    <row r="41" spans="1:8" x14ac:dyDescent="0.3">
      <c r="A41" s="6">
        <v>10300</v>
      </c>
      <c r="B41" s="6" t="s">
        <v>50</v>
      </c>
      <c r="C41" s="7">
        <v>45673</v>
      </c>
      <c r="D41" s="7">
        <v>45701</v>
      </c>
      <c r="E41" s="6" t="s">
        <v>16</v>
      </c>
      <c r="F41" s="6" t="s">
        <v>19</v>
      </c>
      <c r="G41" s="8">
        <v>99</v>
      </c>
      <c r="H41" s="9">
        <v>8.2799999999999994</v>
      </c>
    </row>
    <row r="42" spans="1:8" x14ac:dyDescent="0.3">
      <c r="A42" s="6">
        <v>10348</v>
      </c>
      <c r="B42" s="6" t="s">
        <v>65</v>
      </c>
      <c r="C42" s="7">
        <v>45676</v>
      </c>
      <c r="D42" s="7">
        <v>45690</v>
      </c>
      <c r="E42" s="6" t="s">
        <v>14</v>
      </c>
      <c r="F42" s="6" t="s">
        <v>19</v>
      </c>
      <c r="G42" s="8">
        <v>112</v>
      </c>
      <c r="H42" s="9">
        <v>240.87</v>
      </c>
    </row>
    <row r="43" spans="1:8" x14ac:dyDescent="0.3">
      <c r="A43" s="6">
        <v>10366</v>
      </c>
      <c r="B43" s="6" t="s">
        <v>59</v>
      </c>
      <c r="C43" s="7">
        <v>45935</v>
      </c>
      <c r="D43" s="7">
        <v>45942</v>
      </c>
      <c r="E43" s="6" t="s">
        <v>16</v>
      </c>
      <c r="F43" s="6" t="s">
        <v>19</v>
      </c>
      <c r="G43" s="8">
        <v>23</v>
      </c>
      <c r="H43" s="9">
        <v>28.53</v>
      </c>
    </row>
    <row r="44" spans="1:8" x14ac:dyDescent="0.3">
      <c r="A44" s="6">
        <v>10395</v>
      </c>
      <c r="B44" s="6" t="s">
        <v>48</v>
      </c>
      <c r="C44" s="7">
        <v>45661</v>
      </c>
      <c r="D44" s="7">
        <v>45689</v>
      </c>
      <c r="E44" s="6" t="s">
        <v>16</v>
      </c>
      <c r="F44" s="6" t="s">
        <v>19</v>
      </c>
      <c r="G44" s="8">
        <v>569</v>
      </c>
      <c r="H44" s="9">
        <v>235.22</v>
      </c>
    </row>
    <row r="45" spans="1:8" x14ac:dyDescent="0.3">
      <c r="A45" s="6">
        <v>10414</v>
      </c>
      <c r="B45" s="6" t="s">
        <v>63</v>
      </c>
      <c r="C45" s="7">
        <v>45660</v>
      </c>
      <c r="D45" s="7">
        <v>45667</v>
      </c>
      <c r="E45" s="6" t="s">
        <v>16</v>
      </c>
      <c r="F45" s="6" t="s">
        <v>19</v>
      </c>
      <c r="G45" s="8">
        <v>667</v>
      </c>
      <c r="H45" s="9">
        <v>157.77000000000001</v>
      </c>
    </row>
    <row r="46" spans="1:8" x14ac:dyDescent="0.3">
      <c r="A46" s="6">
        <v>10416</v>
      </c>
      <c r="B46" s="6" t="s">
        <v>39</v>
      </c>
      <c r="C46" s="7">
        <v>45722</v>
      </c>
      <c r="D46" s="7">
        <v>45729</v>
      </c>
      <c r="E46" s="6" t="s">
        <v>14</v>
      </c>
      <c r="F46" s="6" t="s">
        <v>19</v>
      </c>
      <c r="G46" s="8">
        <v>667</v>
      </c>
      <c r="H46" s="9">
        <v>117.9</v>
      </c>
    </row>
    <row r="47" spans="1:8" x14ac:dyDescent="0.3">
      <c r="A47" s="6">
        <v>10255</v>
      </c>
      <c r="B47" s="6" t="s">
        <v>21</v>
      </c>
      <c r="C47" s="7">
        <v>45942</v>
      </c>
      <c r="D47" s="7">
        <v>45963</v>
      </c>
      <c r="E47" s="6" t="s">
        <v>16</v>
      </c>
      <c r="F47" s="6" t="s">
        <v>22</v>
      </c>
      <c r="G47" s="8">
        <v>1500</v>
      </c>
      <c r="H47" s="9">
        <v>219.17</v>
      </c>
    </row>
    <row r="48" spans="1:8" x14ac:dyDescent="0.3">
      <c r="A48" s="6">
        <v>10273</v>
      </c>
      <c r="B48" s="6" t="s">
        <v>46</v>
      </c>
      <c r="C48" s="7">
        <v>45836</v>
      </c>
      <c r="D48" s="7">
        <v>45850</v>
      </c>
      <c r="E48" s="6" t="s">
        <v>14</v>
      </c>
      <c r="F48" s="6" t="s">
        <v>22</v>
      </c>
      <c r="G48" s="8">
        <v>789</v>
      </c>
      <c r="H48" s="9">
        <v>83.62</v>
      </c>
    </row>
    <row r="49" spans="1:8" x14ac:dyDescent="0.3">
      <c r="A49" s="6">
        <v>10278</v>
      </c>
      <c r="B49" s="6" t="s">
        <v>48</v>
      </c>
      <c r="C49" s="7">
        <v>45669</v>
      </c>
      <c r="D49" s="7">
        <v>45679</v>
      </c>
      <c r="E49" s="6" t="s">
        <v>14</v>
      </c>
      <c r="F49" s="6" t="s">
        <v>22</v>
      </c>
      <c r="G49" s="8">
        <v>66</v>
      </c>
      <c r="H49" s="9">
        <v>42.2</v>
      </c>
    </row>
    <row r="50" spans="1:8" x14ac:dyDescent="0.3">
      <c r="A50" s="6">
        <v>10302</v>
      </c>
      <c r="B50" s="6" t="s">
        <v>33</v>
      </c>
      <c r="C50" s="7">
        <v>45704</v>
      </c>
      <c r="D50" s="7">
        <v>45714</v>
      </c>
      <c r="E50" s="6" t="s">
        <v>9</v>
      </c>
      <c r="F50" s="6" t="s">
        <v>22</v>
      </c>
      <c r="G50" s="8">
        <v>112</v>
      </c>
      <c r="H50" s="9">
        <v>86.83</v>
      </c>
    </row>
    <row r="51" spans="1:8" x14ac:dyDescent="0.3">
      <c r="A51" s="6">
        <v>10310</v>
      </c>
      <c r="B51" s="6" t="s">
        <v>60</v>
      </c>
      <c r="C51" s="7">
        <v>45681</v>
      </c>
      <c r="D51" s="7">
        <v>45702</v>
      </c>
      <c r="E51" s="6" t="s">
        <v>9</v>
      </c>
      <c r="F51" s="6" t="s">
        <v>22</v>
      </c>
      <c r="G51" s="8">
        <v>76</v>
      </c>
      <c r="H51" s="9">
        <v>241.38</v>
      </c>
    </row>
    <row r="52" spans="1:8" x14ac:dyDescent="0.3">
      <c r="A52" s="6">
        <v>10314</v>
      </c>
      <c r="B52" s="6" t="s">
        <v>61</v>
      </c>
      <c r="C52" s="7">
        <v>45875</v>
      </c>
      <c r="D52" s="7">
        <v>45889</v>
      </c>
      <c r="E52" s="6" t="s">
        <v>14</v>
      </c>
      <c r="F52" s="6" t="s">
        <v>22</v>
      </c>
      <c r="G52" s="8">
        <v>23</v>
      </c>
      <c r="H52" s="9">
        <v>46.96</v>
      </c>
    </row>
    <row r="53" spans="1:8" x14ac:dyDescent="0.3">
      <c r="A53" s="6">
        <v>10321</v>
      </c>
      <c r="B53" s="6" t="s">
        <v>47</v>
      </c>
      <c r="C53" s="7">
        <v>45774</v>
      </c>
      <c r="D53" s="7">
        <v>45784</v>
      </c>
      <c r="E53" s="6" t="s">
        <v>16</v>
      </c>
      <c r="F53" s="6" t="s">
        <v>22</v>
      </c>
      <c r="G53" s="8">
        <v>1000</v>
      </c>
      <c r="H53" s="9">
        <v>84.6</v>
      </c>
    </row>
    <row r="54" spans="1:8" x14ac:dyDescent="0.3">
      <c r="A54" s="6">
        <v>10374</v>
      </c>
      <c r="B54" s="6" t="s">
        <v>39</v>
      </c>
      <c r="C54" s="7">
        <v>45956</v>
      </c>
      <c r="D54" s="7">
        <v>45963</v>
      </c>
      <c r="E54" s="6" t="s">
        <v>9</v>
      </c>
      <c r="F54" s="6" t="s">
        <v>22</v>
      </c>
      <c r="G54" s="8">
        <v>76</v>
      </c>
      <c r="H54" s="9">
        <v>238.41</v>
      </c>
    </row>
    <row r="55" spans="1:8" x14ac:dyDescent="0.3">
      <c r="A55" s="6">
        <v>10256</v>
      </c>
      <c r="B55" s="6" t="s">
        <v>23</v>
      </c>
      <c r="C55" s="7">
        <v>45862</v>
      </c>
      <c r="D55" s="7">
        <v>45890</v>
      </c>
      <c r="E55" s="6" t="s">
        <v>16</v>
      </c>
      <c r="F55" s="6" t="s">
        <v>24</v>
      </c>
      <c r="G55" s="8">
        <v>789</v>
      </c>
      <c r="H55" s="9">
        <v>129.44999999999999</v>
      </c>
    </row>
    <row r="56" spans="1:8" x14ac:dyDescent="0.3">
      <c r="A56" s="6">
        <v>10284</v>
      </c>
      <c r="B56" s="6" t="s">
        <v>39</v>
      </c>
      <c r="C56" s="7">
        <v>45839</v>
      </c>
      <c r="D56" s="7">
        <v>45849</v>
      </c>
      <c r="E56" s="6" t="s">
        <v>9</v>
      </c>
      <c r="F56" s="6" t="s">
        <v>24</v>
      </c>
      <c r="G56" s="8">
        <v>1000</v>
      </c>
      <c r="H56" s="9">
        <v>56.09</v>
      </c>
    </row>
    <row r="57" spans="1:8" x14ac:dyDescent="0.3">
      <c r="A57" s="6">
        <v>10295</v>
      </c>
      <c r="B57" s="6" t="s">
        <v>56</v>
      </c>
      <c r="C57" s="7">
        <v>45721</v>
      </c>
      <c r="D57" s="7">
        <v>45735</v>
      </c>
      <c r="E57" s="6" t="s">
        <v>16</v>
      </c>
      <c r="F57" s="6" t="s">
        <v>24</v>
      </c>
      <c r="G57" s="8">
        <v>23</v>
      </c>
      <c r="H57" s="9">
        <v>136.68</v>
      </c>
    </row>
    <row r="58" spans="1:8" x14ac:dyDescent="0.3">
      <c r="A58" s="6">
        <v>10306</v>
      </c>
      <c r="B58" s="6" t="s">
        <v>28</v>
      </c>
      <c r="C58" s="7">
        <v>45893</v>
      </c>
      <c r="D58" s="7">
        <v>45921</v>
      </c>
      <c r="E58" s="6" t="s">
        <v>9</v>
      </c>
      <c r="F58" s="6" t="s">
        <v>24</v>
      </c>
      <c r="G58" s="8">
        <v>123</v>
      </c>
      <c r="H58" s="9">
        <v>49.01</v>
      </c>
    </row>
    <row r="59" spans="1:8" x14ac:dyDescent="0.3">
      <c r="A59" s="6">
        <v>10347</v>
      </c>
      <c r="B59" s="6" t="s">
        <v>59</v>
      </c>
      <c r="C59" s="7">
        <v>45941</v>
      </c>
      <c r="D59" s="7">
        <v>45951</v>
      </c>
      <c r="E59" s="6" t="s">
        <v>14</v>
      </c>
      <c r="F59" s="6" t="s">
        <v>24</v>
      </c>
      <c r="G59" s="8">
        <v>34</v>
      </c>
      <c r="H59" s="9">
        <v>200.96</v>
      </c>
    </row>
    <row r="60" spans="1:8" x14ac:dyDescent="0.3">
      <c r="A60" s="6">
        <v>10365</v>
      </c>
      <c r="B60" s="6" t="s">
        <v>55</v>
      </c>
      <c r="C60" s="7">
        <v>45929</v>
      </c>
      <c r="D60" s="7">
        <v>45950</v>
      </c>
      <c r="E60" s="6" t="s">
        <v>16</v>
      </c>
      <c r="F60" s="6" t="s">
        <v>24</v>
      </c>
      <c r="G60" s="8">
        <v>667</v>
      </c>
      <c r="H60" s="9">
        <v>154.30000000000001</v>
      </c>
    </row>
    <row r="61" spans="1:8" x14ac:dyDescent="0.3">
      <c r="A61" s="6">
        <v>10375</v>
      </c>
      <c r="B61" s="6" t="s">
        <v>32</v>
      </c>
      <c r="C61" s="7">
        <v>45721</v>
      </c>
      <c r="D61" s="7">
        <v>45749</v>
      </c>
      <c r="E61" s="6" t="s">
        <v>14</v>
      </c>
      <c r="F61" s="6" t="s">
        <v>24</v>
      </c>
      <c r="G61" s="8">
        <v>44</v>
      </c>
      <c r="H61" s="9">
        <v>139.78</v>
      </c>
    </row>
    <row r="62" spans="1:8" x14ac:dyDescent="0.3">
      <c r="A62" s="6">
        <v>10423</v>
      </c>
      <c r="B62" s="6" t="s">
        <v>27</v>
      </c>
      <c r="C62" s="7">
        <v>45794</v>
      </c>
      <c r="D62" s="7">
        <v>45808</v>
      </c>
      <c r="E62" s="6" t="s">
        <v>9</v>
      </c>
      <c r="F62" s="6" t="s">
        <v>24</v>
      </c>
      <c r="G62" s="8">
        <v>123</v>
      </c>
      <c r="H62" s="9">
        <v>60.4</v>
      </c>
    </row>
    <row r="63" spans="1:8" x14ac:dyDescent="0.3">
      <c r="A63" s="6">
        <v>10268</v>
      </c>
      <c r="B63" s="6" t="s">
        <v>39</v>
      </c>
      <c r="C63" s="7">
        <v>45938</v>
      </c>
      <c r="D63" s="7">
        <v>45952</v>
      </c>
      <c r="E63" s="6" t="s">
        <v>14</v>
      </c>
      <c r="F63" s="6" t="s">
        <v>40</v>
      </c>
      <c r="G63" s="8">
        <v>345</v>
      </c>
      <c r="H63" s="9">
        <v>166.98</v>
      </c>
    </row>
    <row r="64" spans="1:8" x14ac:dyDescent="0.3">
      <c r="A64" s="6">
        <v>10303</v>
      </c>
      <c r="B64" s="6" t="s">
        <v>58</v>
      </c>
      <c r="C64" s="7">
        <v>45925</v>
      </c>
      <c r="D64" s="7">
        <v>45939</v>
      </c>
      <c r="E64" s="6" t="s">
        <v>9</v>
      </c>
      <c r="F64" s="6" t="s">
        <v>40</v>
      </c>
      <c r="G64" s="8">
        <v>99</v>
      </c>
      <c r="H64" s="9">
        <v>118.96</v>
      </c>
    </row>
    <row r="65" spans="1:8" x14ac:dyDescent="0.3">
      <c r="A65" s="6">
        <v>10313</v>
      </c>
      <c r="B65" s="6" t="s">
        <v>60</v>
      </c>
      <c r="C65" s="7">
        <v>45841</v>
      </c>
      <c r="D65" s="7">
        <v>45851</v>
      </c>
      <c r="E65" s="6" t="s">
        <v>14</v>
      </c>
      <c r="F65" s="6" t="s">
        <v>40</v>
      </c>
      <c r="G65" s="8">
        <v>1500</v>
      </c>
      <c r="H65" s="9">
        <v>162.83000000000001</v>
      </c>
    </row>
    <row r="66" spans="1:8" x14ac:dyDescent="0.3">
      <c r="A66" s="6">
        <v>10331</v>
      </c>
      <c r="B66" s="6" t="s">
        <v>35</v>
      </c>
      <c r="C66" s="7">
        <v>45771</v>
      </c>
      <c r="D66" s="7">
        <v>45778</v>
      </c>
      <c r="E66" s="6" t="s">
        <v>16</v>
      </c>
      <c r="F66" s="6" t="s">
        <v>40</v>
      </c>
      <c r="G66" s="8">
        <v>88</v>
      </c>
      <c r="H66" s="9">
        <v>198.21</v>
      </c>
    </row>
    <row r="67" spans="1:8" x14ac:dyDescent="0.3">
      <c r="A67" s="6">
        <v>10350</v>
      </c>
      <c r="B67" s="6" t="s">
        <v>11</v>
      </c>
      <c r="C67" s="7">
        <v>45737</v>
      </c>
      <c r="D67" s="7">
        <v>45758</v>
      </c>
      <c r="E67" s="6" t="s">
        <v>9</v>
      </c>
      <c r="F67" s="6" t="s">
        <v>40</v>
      </c>
      <c r="G67" s="8">
        <v>123</v>
      </c>
      <c r="H67" s="9">
        <v>57.18</v>
      </c>
    </row>
    <row r="68" spans="1:8" x14ac:dyDescent="0.3">
      <c r="A68" s="6">
        <v>10352</v>
      </c>
      <c r="B68" s="6" t="s">
        <v>33</v>
      </c>
      <c r="C68" s="7">
        <v>45733</v>
      </c>
      <c r="D68" s="7">
        <v>45761</v>
      </c>
      <c r="E68" s="6" t="s">
        <v>16</v>
      </c>
      <c r="F68" s="6" t="s">
        <v>40</v>
      </c>
      <c r="G68" s="8">
        <v>34</v>
      </c>
      <c r="H68" s="9">
        <v>25.93</v>
      </c>
    </row>
    <row r="69" spans="1:8" x14ac:dyDescent="0.3">
      <c r="A69" s="6">
        <v>10367</v>
      </c>
      <c r="B69" s="6" t="s">
        <v>61</v>
      </c>
      <c r="C69" s="7">
        <v>45706</v>
      </c>
      <c r="D69" s="7">
        <v>45716</v>
      </c>
      <c r="E69" s="6" t="s">
        <v>16</v>
      </c>
      <c r="F69" s="6" t="s">
        <v>40</v>
      </c>
      <c r="G69" s="8">
        <v>34</v>
      </c>
      <c r="H69" s="9">
        <v>187.86</v>
      </c>
    </row>
    <row r="70" spans="1:8" x14ac:dyDescent="0.3">
      <c r="A70" s="6">
        <v>10381</v>
      </c>
      <c r="B70" s="6" t="s">
        <v>35</v>
      </c>
      <c r="C70" s="7">
        <v>45745</v>
      </c>
      <c r="D70" s="7">
        <v>45752</v>
      </c>
      <c r="E70" s="6" t="s">
        <v>14</v>
      </c>
      <c r="F70" s="6" t="s">
        <v>40</v>
      </c>
      <c r="G70" s="8">
        <v>123</v>
      </c>
      <c r="H70" s="9">
        <v>155.38999999999999</v>
      </c>
    </row>
    <row r="71" spans="1:8" x14ac:dyDescent="0.3">
      <c r="A71" s="6">
        <v>10408</v>
      </c>
      <c r="B71" s="6" t="s">
        <v>48</v>
      </c>
      <c r="C71" s="7">
        <v>45838</v>
      </c>
      <c r="D71" s="7">
        <v>45859</v>
      </c>
      <c r="E71" s="6" t="s">
        <v>14</v>
      </c>
      <c r="F71" s="6" t="s">
        <v>40</v>
      </c>
      <c r="G71" s="8">
        <v>569</v>
      </c>
      <c r="H71" s="9">
        <v>132.61000000000001</v>
      </c>
    </row>
    <row r="72" spans="1:8" x14ac:dyDescent="0.3">
      <c r="A72" s="6">
        <v>10263</v>
      </c>
      <c r="B72" s="6" t="s">
        <v>33</v>
      </c>
      <c r="C72" s="7">
        <v>45913</v>
      </c>
      <c r="D72" s="7">
        <v>45934</v>
      </c>
      <c r="E72" s="6" t="s">
        <v>16</v>
      </c>
      <c r="F72" s="6" t="s">
        <v>34</v>
      </c>
      <c r="G72" s="8">
        <v>667</v>
      </c>
      <c r="H72" s="9">
        <v>229.41</v>
      </c>
    </row>
    <row r="73" spans="1:8" x14ac:dyDescent="0.3">
      <c r="A73" s="6">
        <v>10281</v>
      </c>
      <c r="B73" s="6" t="s">
        <v>20</v>
      </c>
      <c r="C73" s="7">
        <v>45871</v>
      </c>
      <c r="D73" s="7">
        <v>45885</v>
      </c>
      <c r="E73" s="6" t="s">
        <v>14</v>
      </c>
      <c r="F73" s="6" t="s">
        <v>34</v>
      </c>
      <c r="G73" s="8">
        <v>987</v>
      </c>
      <c r="H73" s="9">
        <v>121.81</v>
      </c>
    </row>
    <row r="74" spans="1:8" x14ac:dyDescent="0.3">
      <c r="A74" s="6">
        <v>10324</v>
      </c>
      <c r="B74" s="6" t="s">
        <v>27</v>
      </c>
      <c r="C74" s="7">
        <v>45949</v>
      </c>
      <c r="D74" s="7">
        <v>45959</v>
      </c>
      <c r="E74" s="6" t="s">
        <v>16</v>
      </c>
      <c r="F74" s="6" t="s">
        <v>34</v>
      </c>
      <c r="G74" s="8">
        <v>56</v>
      </c>
      <c r="H74" s="9">
        <v>81.709999999999994</v>
      </c>
    </row>
    <row r="75" spans="1:8" x14ac:dyDescent="0.3">
      <c r="A75" s="6">
        <v>10327</v>
      </c>
      <c r="B75" s="6" t="s">
        <v>46</v>
      </c>
      <c r="C75" s="7">
        <v>45864</v>
      </c>
      <c r="D75" s="7">
        <v>45885</v>
      </c>
      <c r="E75" s="6" t="s">
        <v>9</v>
      </c>
      <c r="F75" s="6" t="s">
        <v>34</v>
      </c>
      <c r="G75" s="8">
        <v>569</v>
      </c>
      <c r="H75" s="9">
        <v>85.87</v>
      </c>
    </row>
    <row r="76" spans="1:8" x14ac:dyDescent="0.3">
      <c r="A76" s="6">
        <v>10336</v>
      </c>
      <c r="B76" s="6" t="s">
        <v>25</v>
      </c>
      <c r="C76" s="7">
        <v>45940</v>
      </c>
      <c r="D76" s="7">
        <v>45968</v>
      </c>
      <c r="E76" s="6" t="s">
        <v>16</v>
      </c>
      <c r="F76" s="6" t="s">
        <v>34</v>
      </c>
      <c r="G76" s="8">
        <v>345</v>
      </c>
      <c r="H76" s="9">
        <v>88.48</v>
      </c>
    </row>
    <row r="77" spans="1:8" x14ac:dyDescent="0.3">
      <c r="A77" s="6">
        <v>10341</v>
      </c>
      <c r="B77" s="6" t="s">
        <v>48</v>
      </c>
      <c r="C77" s="7">
        <v>45705</v>
      </c>
      <c r="D77" s="7">
        <v>45733</v>
      </c>
      <c r="E77" s="6" t="s">
        <v>9</v>
      </c>
      <c r="F77" s="6" t="s">
        <v>34</v>
      </c>
      <c r="G77" s="8">
        <v>789</v>
      </c>
      <c r="H77" s="9">
        <v>81.19</v>
      </c>
    </row>
    <row r="78" spans="1:8" x14ac:dyDescent="0.3">
      <c r="A78" s="6">
        <v>10368</v>
      </c>
      <c r="B78" s="6" t="s">
        <v>48</v>
      </c>
      <c r="C78" s="7">
        <v>45695</v>
      </c>
      <c r="D78" s="7">
        <v>45723</v>
      </c>
      <c r="E78" s="6" t="s">
        <v>14</v>
      </c>
      <c r="F78" s="6" t="s">
        <v>34</v>
      </c>
      <c r="G78" s="8">
        <v>66</v>
      </c>
      <c r="H78" s="9">
        <v>78.489999999999995</v>
      </c>
    </row>
    <row r="79" spans="1:8" x14ac:dyDescent="0.3">
      <c r="A79" s="6">
        <v>10373</v>
      </c>
      <c r="B79" s="6" t="s">
        <v>64</v>
      </c>
      <c r="C79" s="7">
        <v>45730</v>
      </c>
      <c r="D79" s="7">
        <v>45744</v>
      </c>
      <c r="E79" s="6" t="s">
        <v>9</v>
      </c>
      <c r="F79" s="6" t="s">
        <v>34</v>
      </c>
      <c r="G79" s="8">
        <v>112</v>
      </c>
      <c r="H79" s="9">
        <v>192.33</v>
      </c>
    </row>
    <row r="80" spans="1:8" x14ac:dyDescent="0.3">
      <c r="A80" s="6">
        <v>10386</v>
      </c>
      <c r="B80" s="6" t="s">
        <v>38</v>
      </c>
      <c r="C80" s="7">
        <v>45743</v>
      </c>
      <c r="D80" s="7">
        <v>45771</v>
      </c>
      <c r="E80" s="6" t="s">
        <v>9</v>
      </c>
      <c r="F80" s="6" t="s">
        <v>34</v>
      </c>
      <c r="G80" s="8">
        <v>466</v>
      </c>
      <c r="H80" s="9">
        <v>71.53</v>
      </c>
    </row>
    <row r="81" spans="1:8" x14ac:dyDescent="0.3">
      <c r="A81" s="6">
        <v>10285</v>
      </c>
      <c r="B81" s="6" t="s">
        <v>15</v>
      </c>
      <c r="C81" s="7">
        <v>45802</v>
      </c>
      <c r="D81" s="7">
        <v>45830</v>
      </c>
      <c r="E81" s="6" t="s">
        <v>9</v>
      </c>
      <c r="F81" s="6" t="s">
        <v>54</v>
      </c>
      <c r="G81" s="8">
        <v>1250</v>
      </c>
      <c r="H81" s="9">
        <v>68.849999999999994</v>
      </c>
    </row>
    <row r="82" spans="1:8" x14ac:dyDescent="0.3">
      <c r="A82" s="6">
        <v>10294</v>
      </c>
      <c r="B82" s="6" t="s">
        <v>27</v>
      </c>
      <c r="C82" s="7">
        <v>45841</v>
      </c>
      <c r="D82" s="7">
        <v>45848</v>
      </c>
      <c r="E82" s="6" t="s">
        <v>14</v>
      </c>
      <c r="F82" s="6" t="s">
        <v>54</v>
      </c>
      <c r="G82" s="8">
        <v>345</v>
      </c>
      <c r="H82" s="9">
        <v>74.17</v>
      </c>
    </row>
    <row r="83" spans="1:8" x14ac:dyDescent="0.3">
      <c r="A83" s="6">
        <v>10312</v>
      </c>
      <c r="B83" s="6" t="s">
        <v>38</v>
      </c>
      <c r="C83" s="7">
        <v>45817</v>
      </c>
      <c r="D83" s="7">
        <v>45824</v>
      </c>
      <c r="E83" s="6" t="s">
        <v>14</v>
      </c>
      <c r="F83" s="6" t="s">
        <v>54</v>
      </c>
      <c r="G83" s="8">
        <v>123</v>
      </c>
      <c r="H83" s="9">
        <v>136.44</v>
      </c>
    </row>
    <row r="84" spans="1:8" x14ac:dyDescent="0.3">
      <c r="A84" s="6">
        <v>10316</v>
      </c>
      <c r="B84" s="6" t="s">
        <v>63</v>
      </c>
      <c r="C84" s="7">
        <v>45660</v>
      </c>
      <c r="D84" s="7">
        <v>45674</v>
      </c>
      <c r="E84" s="6" t="s">
        <v>16</v>
      </c>
      <c r="F84" s="6" t="s">
        <v>54</v>
      </c>
      <c r="G84" s="8">
        <v>88</v>
      </c>
      <c r="H84" s="9">
        <v>134.19999999999999</v>
      </c>
    </row>
    <row r="85" spans="1:8" x14ac:dyDescent="0.3">
      <c r="A85" s="6">
        <v>10318</v>
      </c>
      <c r="B85" s="6" t="s">
        <v>23</v>
      </c>
      <c r="C85" s="7">
        <v>45696</v>
      </c>
      <c r="D85" s="7">
        <v>45717</v>
      </c>
      <c r="E85" s="6" t="s">
        <v>9</v>
      </c>
      <c r="F85" s="6" t="s">
        <v>54</v>
      </c>
      <c r="G85" s="8">
        <v>56</v>
      </c>
      <c r="H85" s="9">
        <v>88.58</v>
      </c>
    </row>
    <row r="86" spans="1:8" x14ac:dyDescent="0.3">
      <c r="A86" s="6">
        <v>10326</v>
      </c>
      <c r="B86" s="6" t="s">
        <v>21</v>
      </c>
      <c r="C86" s="7">
        <v>45732</v>
      </c>
      <c r="D86" s="7">
        <v>45760</v>
      </c>
      <c r="E86" s="6" t="s">
        <v>16</v>
      </c>
      <c r="F86" s="6" t="s">
        <v>54</v>
      </c>
      <c r="G86" s="8">
        <v>1250</v>
      </c>
      <c r="H86" s="9">
        <v>115.87</v>
      </c>
    </row>
    <row r="87" spans="1:8" x14ac:dyDescent="0.3">
      <c r="A87" s="6">
        <v>10398</v>
      </c>
      <c r="B87" s="6" t="s">
        <v>37</v>
      </c>
      <c r="C87" s="7">
        <v>45799</v>
      </c>
      <c r="D87" s="7">
        <v>45820</v>
      </c>
      <c r="E87" s="6" t="s">
        <v>9</v>
      </c>
      <c r="F87" s="6" t="s">
        <v>54</v>
      </c>
      <c r="G87" s="8">
        <v>112</v>
      </c>
      <c r="H87" s="9">
        <v>112.87</v>
      </c>
    </row>
    <row r="88" spans="1:8" x14ac:dyDescent="0.3">
      <c r="A88" s="6">
        <v>10400</v>
      </c>
      <c r="B88" s="6" t="s">
        <v>15</v>
      </c>
      <c r="C88" s="7">
        <v>45674</v>
      </c>
      <c r="D88" s="7">
        <v>45684</v>
      </c>
      <c r="E88" s="6" t="s">
        <v>9</v>
      </c>
      <c r="F88" s="6" t="s">
        <v>54</v>
      </c>
      <c r="G88" s="8">
        <v>466</v>
      </c>
      <c r="H88" s="9">
        <v>58.15</v>
      </c>
    </row>
    <row r="89" spans="1:8" x14ac:dyDescent="0.3">
      <c r="A89" s="6">
        <v>10426</v>
      </c>
      <c r="B89" s="6" t="s">
        <v>39</v>
      </c>
      <c r="C89" s="7">
        <v>45885</v>
      </c>
      <c r="D89" s="7">
        <v>45895</v>
      </c>
      <c r="E89" s="6" t="s">
        <v>9</v>
      </c>
      <c r="F89" s="6" t="s">
        <v>54</v>
      </c>
      <c r="G89" s="8">
        <v>112</v>
      </c>
      <c r="H89" s="9">
        <v>79.540000000000006</v>
      </c>
    </row>
    <row r="90" spans="1:8" x14ac:dyDescent="0.3">
      <c r="A90" s="6">
        <v>10265</v>
      </c>
      <c r="B90" s="6" t="s">
        <v>35</v>
      </c>
      <c r="C90" s="7">
        <v>45904</v>
      </c>
      <c r="D90" s="7">
        <v>45911</v>
      </c>
      <c r="E90" s="6" t="s">
        <v>16</v>
      </c>
      <c r="F90" s="6" t="s">
        <v>36</v>
      </c>
      <c r="G90" s="8">
        <v>56</v>
      </c>
      <c r="H90" s="9">
        <v>50.66</v>
      </c>
    </row>
    <row r="91" spans="1:8" x14ac:dyDescent="0.3">
      <c r="A91" s="6">
        <v>10297</v>
      </c>
      <c r="B91" s="6" t="s">
        <v>41</v>
      </c>
      <c r="C91" s="7">
        <v>45719</v>
      </c>
      <c r="D91" s="7">
        <v>45726</v>
      </c>
      <c r="E91" s="6" t="s">
        <v>9</v>
      </c>
      <c r="F91" s="6" t="s">
        <v>36</v>
      </c>
      <c r="G91" s="8">
        <v>1500</v>
      </c>
      <c r="H91" s="9">
        <v>162.85</v>
      </c>
    </row>
    <row r="92" spans="1:8" x14ac:dyDescent="0.3">
      <c r="A92" s="6">
        <v>10307</v>
      </c>
      <c r="B92" s="6" t="s">
        <v>11</v>
      </c>
      <c r="C92" s="7">
        <v>45869</v>
      </c>
      <c r="D92" s="7">
        <v>45879</v>
      </c>
      <c r="E92" s="6" t="s">
        <v>14</v>
      </c>
      <c r="F92" s="6" t="s">
        <v>36</v>
      </c>
      <c r="G92" s="8">
        <v>987</v>
      </c>
      <c r="H92" s="9">
        <v>176.33</v>
      </c>
    </row>
    <row r="93" spans="1:8" x14ac:dyDescent="0.3">
      <c r="A93" s="6">
        <v>10308</v>
      </c>
      <c r="B93" s="6" t="s">
        <v>43</v>
      </c>
      <c r="C93" s="7">
        <v>45678</v>
      </c>
      <c r="D93" s="7">
        <v>45688</v>
      </c>
      <c r="E93" s="6" t="s">
        <v>16</v>
      </c>
      <c r="F93" s="6" t="s">
        <v>36</v>
      </c>
      <c r="G93" s="8">
        <v>1000</v>
      </c>
      <c r="H93" s="9">
        <v>183.42</v>
      </c>
    </row>
    <row r="94" spans="1:8" x14ac:dyDescent="0.3">
      <c r="A94" s="6">
        <v>10319</v>
      </c>
      <c r="B94" s="6" t="s">
        <v>48</v>
      </c>
      <c r="C94" s="7">
        <v>45914</v>
      </c>
      <c r="D94" s="7">
        <v>45921</v>
      </c>
      <c r="E94" s="6" t="s">
        <v>14</v>
      </c>
      <c r="F94" s="6" t="s">
        <v>36</v>
      </c>
      <c r="G94" s="8">
        <v>667</v>
      </c>
      <c r="H94" s="9">
        <v>229.63</v>
      </c>
    </row>
    <row r="95" spans="1:8" x14ac:dyDescent="0.3">
      <c r="A95" s="6">
        <v>10387</v>
      </c>
      <c r="B95" s="6" t="s">
        <v>43</v>
      </c>
      <c r="C95" s="7">
        <v>45745</v>
      </c>
      <c r="D95" s="7">
        <v>45766</v>
      </c>
      <c r="E95" s="6" t="s">
        <v>14</v>
      </c>
      <c r="F95" s="6" t="s">
        <v>36</v>
      </c>
      <c r="G95" s="8">
        <v>44</v>
      </c>
      <c r="H95" s="9">
        <v>187.59</v>
      </c>
    </row>
    <row r="96" spans="1:8" x14ac:dyDescent="0.3">
      <c r="A96" s="6">
        <v>10248</v>
      </c>
      <c r="B96" s="6" t="s">
        <v>8</v>
      </c>
      <c r="C96" s="7">
        <v>45719</v>
      </c>
      <c r="D96" s="7">
        <v>45733</v>
      </c>
      <c r="E96" s="6" t="s">
        <v>9</v>
      </c>
      <c r="F96" s="6" t="s">
        <v>10</v>
      </c>
      <c r="G96" s="8">
        <v>99</v>
      </c>
      <c r="H96" s="9">
        <v>223.96</v>
      </c>
    </row>
    <row r="97" spans="1:8" x14ac:dyDescent="0.3">
      <c r="A97" s="6">
        <v>10267</v>
      </c>
      <c r="B97" s="6" t="s">
        <v>38</v>
      </c>
      <c r="C97" s="7">
        <v>45938</v>
      </c>
      <c r="D97" s="7">
        <v>45945</v>
      </c>
      <c r="E97" s="6" t="s">
        <v>14</v>
      </c>
      <c r="F97" s="6" t="s">
        <v>10</v>
      </c>
      <c r="G97" s="8">
        <v>1500</v>
      </c>
      <c r="H97" s="9">
        <v>13.55</v>
      </c>
    </row>
    <row r="98" spans="1:8" x14ac:dyDescent="0.3">
      <c r="A98" s="6">
        <v>10282</v>
      </c>
      <c r="B98" s="6" t="s">
        <v>48</v>
      </c>
      <c r="C98" s="7">
        <v>45720</v>
      </c>
      <c r="D98" s="7">
        <v>45748</v>
      </c>
      <c r="E98" s="6" t="s">
        <v>16</v>
      </c>
      <c r="F98" s="6" t="s">
        <v>10</v>
      </c>
      <c r="G98" s="8">
        <v>88</v>
      </c>
      <c r="H98" s="9">
        <v>59.76</v>
      </c>
    </row>
    <row r="99" spans="1:8" x14ac:dyDescent="0.3">
      <c r="A99" s="6">
        <v>10286</v>
      </c>
      <c r="B99" s="6" t="s">
        <v>55</v>
      </c>
      <c r="C99" s="7">
        <v>45943</v>
      </c>
      <c r="D99" s="7">
        <v>45953</v>
      </c>
      <c r="E99" s="6" t="s">
        <v>16</v>
      </c>
      <c r="F99" s="6" t="s">
        <v>10</v>
      </c>
      <c r="G99" s="8">
        <v>569</v>
      </c>
      <c r="H99" s="9">
        <v>44.89</v>
      </c>
    </row>
    <row r="100" spans="1:8" x14ac:dyDescent="0.3">
      <c r="A100" s="6">
        <v>10287</v>
      </c>
      <c r="B100" s="6" t="s">
        <v>52</v>
      </c>
      <c r="C100" s="7">
        <v>45689</v>
      </c>
      <c r="D100" s="7">
        <v>45703</v>
      </c>
      <c r="E100" s="6" t="s">
        <v>9</v>
      </c>
      <c r="F100" s="6" t="s">
        <v>10</v>
      </c>
      <c r="G100" s="8">
        <v>987</v>
      </c>
      <c r="H100" s="9">
        <v>80.099999999999994</v>
      </c>
    </row>
    <row r="101" spans="1:8" x14ac:dyDescent="0.3">
      <c r="A101" s="6">
        <v>10296</v>
      </c>
      <c r="B101" s="6" t="s">
        <v>58</v>
      </c>
      <c r="C101" s="7">
        <v>45834</v>
      </c>
      <c r="D101" s="7">
        <v>45844</v>
      </c>
      <c r="E101" s="6" t="s">
        <v>9</v>
      </c>
      <c r="F101" s="6" t="s">
        <v>10</v>
      </c>
      <c r="G101" s="8">
        <v>76</v>
      </c>
      <c r="H101" s="9">
        <v>155.69999999999999</v>
      </c>
    </row>
    <row r="102" spans="1:8" x14ac:dyDescent="0.3">
      <c r="A102" s="6">
        <v>10315</v>
      </c>
      <c r="B102" s="6" t="s">
        <v>62</v>
      </c>
      <c r="C102" s="7">
        <v>45935</v>
      </c>
      <c r="D102" s="7">
        <v>45945</v>
      </c>
      <c r="E102" s="6" t="s">
        <v>14</v>
      </c>
      <c r="F102" s="6" t="s">
        <v>10</v>
      </c>
      <c r="G102" s="8">
        <v>987</v>
      </c>
      <c r="H102" s="9">
        <v>167.76</v>
      </c>
    </row>
    <row r="103" spans="1:8" x14ac:dyDescent="0.3">
      <c r="A103" s="6">
        <v>10343</v>
      </c>
      <c r="B103" s="6" t="s">
        <v>60</v>
      </c>
      <c r="C103" s="7">
        <v>45929</v>
      </c>
      <c r="D103" s="7">
        <v>45957</v>
      </c>
      <c r="E103" s="6" t="s">
        <v>9</v>
      </c>
      <c r="F103" s="6" t="s">
        <v>10</v>
      </c>
      <c r="G103" s="8">
        <v>1500</v>
      </c>
      <c r="H103" s="9">
        <v>244.94</v>
      </c>
    </row>
    <row r="104" spans="1:8" x14ac:dyDescent="0.3">
      <c r="A104" s="6">
        <v>10389</v>
      </c>
      <c r="B104" s="6" t="s">
        <v>11</v>
      </c>
      <c r="C104" s="7">
        <v>45824</v>
      </c>
      <c r="D104" s="7">
        <v>45834</v>
      </c>
      <c r="E104" s="6" t="s">
        <v>9</v>
      </c>
      <c r="F104" s="6" t="s">
        <v>10</v>
      </c>
      <c r="G104" s="8">
        <v>66</v>
      </c>
      <c r="H104" s="9">
        <v>2.87</v>
      </c>
    </row>
    <row r="105" spans="1:8" x14ac:dyDescent="0.3">
      <c r="A105" s="6">
        <v>10393</v>
      </c>
      <c r="B105" s="6" t="s">
        <v>20</v>
      </c>
      <c r="C105" s="7">
        <v>45834</v>
      </c>
      <c r="D105" s="7">
        <v>45844</v>
      </c>
      <c r="E105" s="6" t="s">
        <v>9</v>
      </c>
      <c r="F105" s="6" t="s">
        <v>10</v>
      </c>
      <c r="G105" s="8">
        <v>99</v>
      </c>
      <c r="H105" s="9">
        <v>166.96</v>
      </c>
    </row>
    <row r="106" spans="1:8" x14ac:dyDescent="0.3">
      <c r="A106" s="6">
        <v>10420</v>
      </c>
      <c r="B106" s="6" t="s">
        <v>64</v>
      </c>
      <c r="C106" s="7">
        <v>45938</v>
      </c>
      <c r="D106" s="7">
        <v>45966</v>
      </c>
      <c r="E106" s="6" t="s">
        <v>16</v>
      </c>
      <c r="F106" s="6" t="s">
        <v>10</v>
      </c>
      <c r="G106" s="8">
        <v>445</v>
      </c>
      <c r="H106" s="9">
        <v>237.92</v>
      </c>
    </row>
    <row r="107" spans="1:8" x14ac:dyDescent="0.3">
      <c r="A107" s="6">
        <v>10291</v>
      </c>
      <c r="B107" s="6" t="s">
        <v>20</v>
      </c>
      <c r="C107" s="7">
        <v>45838</v>
      </c>
      <c r="D107" s="7">
        <v>45852</v>
      </c>
      <c r="E107" s="6" t="s">
        <v>9</v>
      </c>
      <c r="F107" s="6" t="s">
        <v>57</v>
      </c>
      <c r="G107" s="8">
        <v>34</v>
      </c>
      <c r="H107" s="9">
        <v>231.37</v>
      </c>
    </row>
    <row r="108" spans="1:8" x14ac:dyDescent="0.3">
      <c r="A108" s="6">
        <v>10346</v>
      </c>
      <c r="B108" s="6" t="s">
        <v>50</v>
      </c>
      <c r="C108" s="7">
        <v>45825</v>
      </c>
      <c r="D108" s="7">
        <v>45839</v>
      </c>
      <c r="E108" s="6" t="s">
        <v>9</v>
      </c>
      <c r="F108" s="6" t="s">
        <v>57</v>
      </c>
      <c r="G108" s="8">
        <v>1000</v>
      </c>
      <c r="H108" s="9">
        <v>49.29</v>
      </c>
    </row>
    <row r="109" spans="1:8" x14ac:dyDescent="0.3">
      <c r="A109" s="6">
        <v>10385</v>
      </c>
      <c r="B109" s="6" t="s">
        <v>43</v>
      </c>
      <c r="C109" s="7">
        <v>45870</v>
      </c>
      <c r="D109" s="7">
        <v>45891</v>
      </c>
      <c r="E109" s="6" t="s">
        <v>16</v>
      </c>
      <c r="F109" s="6" t="s">
        <v>57</v>
      </c>
      <c r="G109" s="8">
        <v>76</v>
      </c>
      <c r="H109" s="9">
        <v>44.96</v>
      </c>
    </row>
    <row r="110" spans="1:8" x14ac:dyDescent="0.3">
      <c r="A110" s="6">
        <v>10407</v>
      </c>
      <c r="B110" s="6" t="s">
        <v>8</v>
      </c>
      <c r="C110" s="7">
        <v>45774</v>
      </c>
      <c r="D110" s="7">
        <v>45802</v>
      </c>
      <c r="E110" s="6" t="s">
        <v>16</v>
      </c>
      <c r="F110" s="6" t="s">
        <v>57</v>
      </c>
      <c r="G110" s="8">
        <v>987</v>
      </c>
      <c r="H110" s="9">
        <v>89.17</v>
      </c>
    </row>
    <row r="111" spans="1:8" x14ac:dyDescent="0.3">
      <c r="A111" s="6">
        <v>10427</v>
      </c>
      <c r="B111" s="6" t="s">
        <v>38</v>
      </c>
      <c r="C111" s="7">
        <v>45785</v>
      </c>
      <c r="D111" s="7">
        <v>45792</v>
      </c>
      <c r="E111" s="6" t="s">
        <v>9</v>
      </c>
      <c r="F111" s="6" t="s">
        <v>57</v>
      </c>
      <c r="G111" s="8">
        <v>345</v>
      </c>
      <c r="H111" s="9">
        <v>175.05</v>
      </c>
    </row>
    <row r="112" spans="1:8" x14ac:dyDescent="0.3">
      <c r="A112" s="6">
        <v>10275</v>
      </c>
      <c r="B112" s="6" t="s">
        <v>48</v>
      </c>
      <c r="C112" s="7">
        <v>45746</v>
      </c>
      <c r="D112" s="7">
        <v>45756</v>
      </c>
      <c r="E112" s="6" t="s">
        <v>14</v>
      </c>
      <c r="F112" s="6" t="s">
        <v>49</v>
      </c>
      <c r="G112" s="8">
        <v>1500</v>
      </c>
      <c r="H112" s="9">
        <v>85.76</v>
      </c>
    </row>
    <row r="113" spans="1:8" x14ac:dyDescent="0.3">
      <c r="A113" s="6">
        <v>10328</v>
      </c>
      <c r="B113" s="6" t="s">
        <v>48</v>
      </c>
      <c r="C113" s="7">
        <v>45912</v>
      </c>
      <c r="D113" s="7">
        <v>45940</v>
      </c>
      <c r="E113" s="6" t="s">
        <v>14</v>
      </c>
      <c r="F113" s="6" t="s">
        <v>49</v>
      </c>
      <c r="G113" s="8">
        <v>445</v>
      </c>
      <c r="H113" s="9">
        <v>162.94</v>
      </c>
    </row>
    <row r="114" spans="1:8" x14ac:dyDescent="0.3">
      <c r="A114" s="6">
        <v>10334</v>
      </c>
      <c r="B114" s="6" t="s">
        <v>43</v>
      </c>
      <c r="C114" s="7">
        <v>45746</v>
      </c>
      <c r="D114" s="7">
        <v>45760</v>
      </c>
      <c r="E114" s="6" t="s">
        <v>9</v>
      </c>
      <c r="F114" s="6" t="s">
        <v>49</v>
      </c>
      <c r="G114" s="8">
        <v>987</v>
      </c>
      <c r="H114" s="9">
        <v>171.08</v>
      </c>
    </row>
    <row r="115" spans="1:8" x14ac:dyDescent="0.3">
      <c r="A115" s="6">
        <v>10344</v>
      </c>
      <c r="B115" s="6" t="s">
        <v>64</v>
      </c>
      <c r="C115" s="7">
        <v>45673</v>
      </c>
      <c r="D115" s="7">
        <v>45694</v>
      </c>
      <c r="E115" s="6" t="s">
        <v>14</v>
      </c>
      <c r="F115" s="6" t="s">
        <v>49</v>
      </c>
      <c r="G115" s="8">
        <v>987</v>
      </c>
      <c r="H115" s="9">
        <v>214.23</v>
      </c>
    </row>
    <row r="116" spans="1:8" x14ac:dyDescent="0.3">
      <c r="A116" s="6">
        <v>10351</v>
      </c>
      <c r="B116" s="6" t="s">
        <v>43</v>
      </c>
      <c r="C116" s="7">
        <v>45845</v>
      </c>
      <c r="D116" s="7">
        <v>45873</v>
      </c>
      <c r="E116" s="6" t="s">
        <v>16</v>
      </c>
      <c r="F116" s="6" t="s">
        <v>49</v>
      </c>
      <c r="G116" s="8">
        <v>66</v>
      </c>
      <c r="H116" s="9">
        <v>225.28</v>
      </c>
    </row>
    <row r="117" spans="1:8" x14ac:dyDescent="0.3">
      <c r="A117" s="6">
        <v>10358</v>
      </c>
      <c r="B117" s="6" t="s">
        <v>52</v>
      </c>
      <c r="C117" s="7">
        <v>45739</v>
      </c>
      <c r="D117" s="7">
        <v>45746</v>
      </c>
      <c r="E117" s="6" t="s">
        <v>14</v>
      </c>
      <c r="F117" s="6" t="s">
        <v>49</v>
      </c>
      <c r="G117" s="8">
        <v>88</v>
      </c>
      <c r="H117" s="9">
        <v>225.12</v>
      </c>
    </row>
    <row r="118" spans="1:8" x14ac:dyDescent="0.3">
      <c r="A118" s="6">
        <v>10376</v>
      </c>
      <c r="B118" s="6" t="s">
        <v>21</v>
      </c>
      <c r="C118" s="7">
        <v>45893</v>
      </c>
      <c r="D118" s="7">
        <v>45914</v>
      </c>
      <c r="E118" s="6" t="s">
        <v>14</v>
      </c>
      <c r="F118" s="6" t="s">
        <v>49</v>
      </c>
      <c r="G118" s="8">
        <v>466</v>
      </c>
      <c r="H118" s="9">
        <v>244.17</v>
      </c>
    </row>
    <row r="119" spans="1:8" x14ac:dyDescent="0.3">
      <c r="A119" s="6">
        <v>10390</v>
      </c>
      <c r="B119" s="6" t="s">
        <v>11</v>
      </c>
      <c r="C119" s="7">
        <v>45853</v>
      </c>
      <c r="D119" s="7">
        <v>45860</v>
      </c>
      <c r="E119" s="6" t="s">
        <v>9</v>
      </c>
      <c r="F119" s="6" t="s">
        <v>49</v>
      </c>
      <c r="G119" s="8">
        <v>1250</v>
      </c>
      <c r="H119" s="9">
        <v>86.31</v>
      </c>
    </row>
    <row r="120" spans="1:8" x14ac:dyDescent="0.3">
      <c r="A120" s="6">
        <v>10419</v>
      </c>
      <c r="B120" s="6" t="s">
        <v>56</v>
      </c>
      <c r="C120" s="7">
        <v>45709</v>
      </c>
      <c r="D120" s="7">
        <v>45716</v>
      </c>
      <c r="E120" s="6" t="s">
        <v>14</v>
      </c>
      <c r="F120" s="6" t="s">
        <v>49</v>
      </c>
      <c r="G120" s="8">
        <v>44</v>
      </c>
      <c r="H120" s="9">
        <v>65.8</v>
      </c>
    </row>
    <row r="121" spans="1:8" x14ac:dyDescent="0.3">
      <c r="A121" s="6">
        <v>10421</v>
      </c>
      <c r="B121" s="6" t="s">
        <v>65</v>
      </c>
      <c r="C121" s="7">
        <v>45664</v>
      </c>
      <c r="D121" s="7">
        <v>45674</v>
      </c>
      <c r="E121" s="6" t="s">
        <v>16</v>
      </c>
      <c r="F121" s="6" t="s">
        <v>49</v>
      </c>
      <c r="G121" s="8">
        <v>56</v>
      </c>
      <c r="H121" s="9">
        <v>174.48</v>
      </c>
    </row>
    <row r="122" spans="1:8" x14ac:dyDescent="0.3">
      <c r="A122" s="6">
        <v>10425</v>
      </c>
      <c r="B122" s="6" t="s">
        <v>20</v>
      </c>
      <c r="C122" s="7">
        <v>45787</v>
      </c>
      <c r="D122" s="7">
        <v>45815</v>
      </c>
      <c r="E122" s="6" t="s">
        <v>16</v>
      </c>
      <c r="F122" s="6" t="s">
        <v>49</v>
      </c>
      <c r="G122" s="8">
        <v>112</v>
      </c>
      <c r="H122" s="9">
        <v>53.96</v>
      </c>
    </row>
    <row r="123" spans="1:8" x14ac:dyDescent="0.3">
      <c r="A123" s="6">
        <v>10251</v>
      </c>
      <c r="B123" s="6" t="s">
        <v>15</v>
      </c>
      <c r="C123" s="7">
        <v>45910</v>
      </c>
      <c r="D123" s="7">
        <v>45924</v>
      </c>
      <c r="E123" s="6" t="s">
        <v>16</v>
      </c>
      <c r="F123" s="6" t="s">
        <v>17</v>
      </c>
      <c r="G123" s="8">
        <v>445</v>
      </c>
      <c r="H123" s="9">
        <v>245.03</v>
      </c>
    </row>
    <row r="124" spans="1:8" x14ac:dyDescent="0.3">
      <c r="A124" s="6">
        <v>10262</v>
      </c>
      <c r="B124" s="6" t="s">
        <v>32</v>
      </c>
      <c r="C124" s="7">
        <v>45926</v>
      </c>
      <c r="D124" s="7">
        <v>45947</v>
      </c>
      <c r="E124" s="6" t="s">
        <v>14</v>
      </c>
      <c r="F124" s="6" t="s">
        <v>17</v>
      </c>
      <c r="G124" s="8">
        <v>789</v>
      </c>
      <c r="H124" s="9">
        <v>118</v>
      </c>
    </row>
    <row r="125" spans="1:8" x14ac:dyDescent="0.3">
      <c r="A125" s="6">
        <v>10288</v>
      </c>
      <c r="B125" s="6" t="s">
        <v>47</v>
      </c>
      <c r="C125" s="7">
        <v>45691</v>
      </c>
      <c r="D125" s="7">
        <v>45705</v>
      </c>
      <c r="E125" s="6" t="s">
        <v>14</v>
      </c>
      <c r="F125" s="6" t="s">
        <v>17</v>
      </c>
      <c r="G125" s="8">
        <v>112</v>
      </c>
      <c r="H125" s="9">
        <v>18.059999999999999</v>
      </c>
    </row>
    <row r="126" spans="1:8" x14ac:dyDescent="0.3">
      <c r="A126" s="6">
        <v>10293</v>
      </c>
      <c r="B126" s="6" t="s">
        <v>8</v>
      </c>
      <c r="C126" s="7">
        <v>45720</v>
      </c>
      <c r="D126" s="7">
        <v>45734</v>
      </c>
      <c r="E126" s="6" t="s">
        <v>9</v>
      </c>
      <c r="F126" s="6" t="s">
        <v>17</v>
      </c>
      <c r="G126" s="8">
        <v>466</v>
      </c>
      <c r="H126" s="9">
        <v>74.739999999999995</v>
      </c>
    </row>
    <row r="127" spans="1:8" x14ac:dyDescent="0.3">
      <c r="A127" s="6">
        <v>10301</v>
      </c>
      <c r="B127" s="6" t="s">
        <v>28</v>
      </c>
      <c r="C127" s="7">
        <v>45800</v>
      </c>
      <c r="D127" s="7">
        <v>45828</v>
      </c>
      <c r="E127" s="6" t="s">
        <v>16</v>
      </c>
      <c r="F127" s="6" t="s">
        <v>17</v>
      </c>
      <c r="G127" s="8">
        <v>345</v>
      </c>
      <c r="H127" s="9">
        <v>36.82</v>
      </c>
    </row>
    <row r="128" spans="1:8" x14ac:dyDescent="0.3">
      <c r="A128" s="6">
        <v>10325</v>
      </c>
      <c r="B128" s="6" t="s">
        <v>59</v>
      </c>
      <c r="C128" s="7">
        <v>45886</v>
      </c>
      <c r="D128" s="7">
        <v>45900</v>
      </c>
      <c r="E128" s="6" t="s">
        <v>9</v>
      </c>
      <c r="F128" s="6" t="s">
        <v>17</v>
      </c>
      <c r="G128" s="8">
        <v>99</v>
      </c>
      <c r="H128" s="9">
        <v>84.61</v>
      </c>
    </row>
    <row r="129" spans="1:8" x14ac:dyDescent="0.3">
      <c r="A129" s="6">
        <v>10329</v>
      </c>
      <c r="B129" s="6" t="s">
        <v>52</v>
      </c>
      <c r="C129" s="7">
        <v>45689</v>
      </c>
      <c r="D129" s="7">
        <v>45710</v>
      </c>
      <c r="E129" s="6" t="s">
        <v>14</v>
      </c>
      <c r="F129" s="6" t="s">
        <v>17</v>
      </c>
      <c r="G129" s="8">
        <v>1000</v>
      </c>
      <c r="H129" s="9">
        <v>176.17</v>
      </c>
    </row>
    <row r="130" spans="1:8" x14ac:dyDescent="0.3">
      <c r="A130" s="6">
        <v>10335</v>
      </c>
      <c r="B130" s="6" t="s">
        <v>55</v>
      </c>
      <c r="C130" s="7">
        <v>45945</v>
      </c>
      <c r="D130" s="7">
        <v>45955</v>
      </c>
      <c r="E130" s="6" t="s">
        <v>14</v>
      </c>
      <c r="F130" s="6" t="s">
        <v>17</v>
      </c>
      <c r="G130" s="8">
        <v>569</v>
      </c>
      <c r="H130" s="9">
        <v>13.51</v>
      </c>
    </row>
    <row r="131" spans="1:8" x14ac:dyDescent="0.3">
      <c r="A131" s="6">
        <v>10337</v>
      </c>
      <c r="B131" s="6" t="s">
        <v>11</v>
      </c>
      <c r="C131" s="7">
        <v>45904</v>
      </c>
      <c r="D131" s="7">
        <v>45918</v>
      </c>
      <c r="E131" s="6" t="s">
        <v>16</v>
      </c>
      <c r="F131" s="6" t="s">
        <v>17</v>
      </c>
      <c r="G131" s="8">
        <v>34</v>
      </c>
      <c r="H131" s="9">
        <v>161.79</v>
      </c>
    </row>
    <row r="132" spans="1:8" x14ac:dyDescent="0.3">
      <c r="A132" s="6">
        <v>10338</v>
      </c>
      <c r="B132" s="6" t="s">
        <v>28</v>
      </c>
      <c r="C132" s="7">
        <v>45727</v>
      </c>
      <c r="D132" s="7">
        <v>45734</v>
      </c>
      <c r="E132" s="6" t="s">
        <v>16</v>
      </c>
      <c r="F132" s="6" t="s">
        <v>17</v>
      </c>
      <c r="G132" s="8">
        <v>667</v>
      </c>
      <c r="H132" s="9">
        <v>51.69</v>
      </c>
    </row>
    <row r="133" spans="1:8" x14ac:dyDescent="0.3">
      <c r="A133" s="6">
        <v>10359</v>
      </c>
      <c r="B133" s="6" t="s">
        <v>59</v>
      </c>
      <c r="C133" s="7">
        <v>45878</v>
      </c>
      <c r="D133" s="7">
        <v>45885</v>
      </c>
      <c r="E133" s="6" t="s">
        <v>9</v>
      </c>
      <c r="F133" s="6" t="s">
        <v>17</v>
      </c>
      <c r="G133" s="8">
        <v>123</v>
      </c>
      <c r="H133" s="9">
        <v>185.44</v>
      </c>
    </row>
    <row r="134" spans="1:8" x14ac:dyDescent="0.3">
      <c r="A134" s="6">
        <v>10391</v>
      </c>
      <c r="B134" s="6" t="s">
        <v>46</v>
      </c>
      <c r="C134" s="7">
        <v>45841</v>
      </c>
      <c r="D134" s="7">
        <v>45848</v>
      </c>
      <c r="E134" s="6" t="s">
        <v>9</v>
      </c>
      <c r="F134" s="6" t="s">
        <v>17</v>
      </c>
      <c r="G134" s="8">
        <v>99</v>
      </c>
      <c r="H134" s="9">
        <v>31.11</v>
      </c>
    </row>
    <row r="135" spans="1:8" x14ac:dyDescent="0.3">
      <c r="A135" s="6">
        <v>10424</v>
      </c>
      <c r="B135" s="6" t="s">
        <v>48</v>
      </c>
      <c r="C135" s="7">
        <v>45927</v>
      </c>
      <c r="D135" s="7">
        <v>45937</v>
      </c>
      <c r="E135" s="6" t="s">
        <v>16</v>
      </c>
      <c r="F135" s="6" t="s">
        <v>17</v>
      </c>
      <c r="G135" s="8">
        <v>34</v>
      </c>
      <c r="H135" s="9">
        <v>139.99</v>
      </c>
    </row>
    <row r="136" spans="1:8" x14ac:dyDescent="0.3">
      <c r="A136" s="6">
        <v>10259</v>
      </c>
      <c r="B136" s="6" t="s">
        <v>28</v>
      </c>
      <c r="C136" s="7">
        <v>45721</v>
      </c>
      <c r="D136" s="7">
        <v>45742</v>
      </c>
      <c r="E136" s="6" t="s">
        <v>9</v>
      </c>
      <c r="F136" s="6" t="s">
        <v>29</v>
      </c>
      <c r="G136" s="8">
        <v>112</v>
      </c>
      <c r="H136" s="9">
        <v>141.05000000000001</v>
      </c>
    </row>
    <row r="137" spans="1:8" x14ac:dyDescent="0.3">
      <c r="A137" s="6">
        <v>10279</v>
      </c>
      <c r="B137" s="6" t="s">
        <v>35</v>
      </c>
      <c r="C137" s="7">
        <v>45754</v>
      </c>
      <c r="D137" s="7">
        <v>45775</v>
      </c>
      <c r="E137" s="6" t="s">
        <v>16</v>
      </c>
      <c r="F137" s="6" t="s">
        <v>29</v>
      </c>
      <c r="G137" s="8">
        <v>569</v>
      </c>
      <c r="H137" s="9">
        <v>217.34</v>
      </c>
    </row>
    <row r="138" spans="1:8" x14ac:dyDescent="0.3">
      <c r="A138" s="6">
        <v>10283</v>
      </c>
      <c r="B138" s="6" t="s">
        <v>53</v>
      </c>
      <c r="C138" s="7">
        <v>45706</v>
      </c>
      <c r="D138" s="7">
        <v>45727</v>
      </c>
      <c r="E138" s="6" t="s">
        <v>16</v>
      </c>
      <c r="F138" s="6" t="s">
        <v>29</v>
      </c>
      <c r="G138" s="8">
        <v>76</v>
      </c>
      <c r="H138" s="9">
        <v>240.4</v>
      </c>
    </row>
    <row r="139" spans="1:8" x14ac:dyDescent="0.3">
      <c r="A139" s="6">
        <v>10290</v>
      </c>
      <c r="B139" s="6" t="s">
        <v>55</v>
      </c>
      <c r="C139" s="7">
        <v>45817</v>
      </c>
      <c r="D139" s="7">
        <v>45824</v>
      </c>
      <c r="E139" s="6" t="s">
        <v>9</v>
      </c>
      <c r="F139" s="6" t="s">
        <v>29</v>
      </c>
      <c r="G139" s="8">
        <v>1250</v>
      </c>
      <c r="H139" s="9">
        <v>247.05</v>
      </c>
    </row>
    <row r="140" spans="1:8" x14ac:dyDescent="0.3">
      <c r="A140" s="6">
        <v>10332</v>
      </c>
      <c r="B140" s="6" t="s">
        <v>32</v>
      </c>
      <c r="C140" s="7">
        <v>45922</v>
      </c>
      <c r="D140" s="7">
        <v>45936</v>
      </c>
      <c r="E140" s="6" t="s">
        <v>14</v>
      </c>
      <c r="F140" s="6" t="s">
        <v>29</v>
      </c>
      <c r="G140" s="8">
        <v>88</v>
      </c>
      <c r="H140" s="9">
        <v>135.88999999999999</v>
      </c>
    </row>
    <row r="141" spans="1:8" x14ac:dyDescent="0.3">
      <c r="A141" s="6">
        <v>10340</v>
      </c>
      <c r="B141" s="6" t="s">
        <v>8</v>
      </c>
      <c r="C141" s="7">
        <v>45869</v>
      </c>
      <c r="D141" s="7">
        <v>45876</v>
      </c>
      <c r="E141" s="6" t="s">
        <v>9</v>
      </c>
      <c r="F141" s="6" t="s">
        <v>29</v>
      </c>
      <c r="G141" s="8">
        <v>123</v>
      </c>
      <c r="H141" s="9">
        <v>245.31</v>
      </c>
    </row>
    <row r="142" spans="1:8" x14ac:dyDescent="0.3">
      <c r="A142" s="6">
        <v>10342</v>
      </c>
      <c r="B142" s="6" t="s">
        <v>52</v>
      </c>
      <c r="C142" s="7">
        <v>45832</v>
      </c>
      <c r="D142" s="7">
        <v>45846</v>
      </c>
      <c r="E142" s="6" t="s">
        <v>14</v>
      </c>
      <c r="F142" s="6" t="s">
        <v>29</v>
      </c>
      <c r="G142" s="8">
        <v>76</v>
      </c>
      <c r="H142" s="9">
        <v>190.43</v>
      </c>
    </row>
    <row r="143" spans="1:8" x14ac:dyDescent="0.3">
      <c r="A143" s="6">
        <v>10355</v>
      </c>
      <c r="B143" s="6" t="s">
        <v>32</v>
      </c>
      <c r="C143" s="7">
        <v>45912</v>
      </c>
      <c r="D143" s="7">
        <v>45922</v>
      </c>
      <c r="E143" s="6" t="s">
        <v>14</v>
      </c>
      <c r="F143" s="6" t="s">
        <v>29</v>
      </c>
      <c r="G143" s="8">
        <v>569</v>
      </c>
      <c r="H143" s="9">
        <v>180.97</v>
      </c>
    </row>
    <row r="144" spans="1:8" x14ac:dyDescent="0.3">
      <c r="A144" s="6">
        <v>10361</v>
      </c>
      <c r="B144" s="6" t="s">
        <v>55</v>
      </c>
      <c r="C144" s="7">
        <v>45908</v>
      </c>
      <c r="D144" s="7">
        <v>45918</v>
      </c>
      <c r="E144" s="6" t="s">
        <v>14</v>
      </c>
      <c r="F144" s="6" t="s">
        <v>29</v>
      </c>
      <c r="G144" s="8">
        <v>99</v>
      </c>
      <c r="H144" s="9">
        <v>242.49</v>
      </c>
    </row>
    <row r="145" spans="1:8" x14ac:dyDescent="0.3">
      <c r="A145" s="6">
        <v>10362</v>
      </c>
      <c r="B145" s="6" t="s">
        <v>58</v>
      </c>
      <c r="C145" s="7">
        <v>45892</v>
      </c>
      <c r="D145" s="7">
        <v>45913</v>
      </c>
      <c r="E145" s="6" t="s">
        <v>9</v>
      </c>
      <c r="F145" s="6" t="s">
        <v>29</v>
      </c>
      <c r="G145" s="8">
        <v>345</v>
      </c>
      <c r="H145" s="9">
        <v>189.34</v>
      </c>
    </row>
    <row r="146" spans="1:8" x14ac:dyDescent="0.3">
      <c r="A146" s="6">
        <v>10363</v>
      </c>
      <c r="B146" s="6" t="s">
        <v>20</v>
      </c>
      <c r="C146" s="7">
        <v>45699</v>
      </c>
      <c r="D146" s="7">
        <v>45720</v>
      </c>
      <c r="E146" s="6" t="s">
        <v>16</v>
      </c>
      <c r="F146" s="6" t="s">
        <v>29</v>
      </c>
      <c r="G146" s="8">
        <v>987</v>
      </c>
      <c r="H146" s="9">
        <v>205.69</v>
      </c>
    </row>
    <row r="147" spans="1:8" x14ac:dyDescent="0.3">
      <c r="A147" s="6">
        <v>10382</v>
      </c>
      <c r="B147" s="6" t="s">
        <v>23</v>
      </c>
      <c r="C147" s="7">
        <v>45681</v>
      </c>
      <c r="D147" s="7">
        <v>45702</v>
      </c>
      <c r="E147" s="6" t="s">
        <v>14</v>
      </c>
      <c r="F147" s="6" t="s">
        <v>29</v>
      </c>
      <c r="G147" s="8">
        <v>76</v>
      </c>
      <c r="H147" s="9">
        <v>137.99</v>
      </c>
    </row>
    <row r="148" spans="1:8" x14ac:dyDescent="0.3">
      <c r="A148" s="6">
        <v>10392</v>
      </c>
      <c r="B148" s="6" t="s">
        <v>52</v>
      </c>
      <c r="C148" s="7">
        <v>45784</v>
      </c>
      <c r="D148" s="7">
        <v>45798</v>
      </c>
      <c r="E148" s="6" t="s">
        <v>16</v>
      </c>
      <c r="F148" s="6" t="s">
        <v>29</v>
      </c>
      <c r="G148" s="8">
        <v>23</v>
      </c>
      <c r="H148" s="9">
        <v>243.18</v>
      </c>
    </row>
    <row r="149" spans="1:8" x14ac:dyDescent="0.3">
      <c r="A149" s="6">
        <v>10402</v>
      </c>
      <c r="B149" s="6" t="s">
        <v>15</v>
      </c>
      <c r="C149" s="7">
        <v>45933</v>
      </c>
      <c r="D149" s="7">
        <v>45954</v>
      </c>
      <c r="E149" s="6" t="s">
        <v>9</v>
      </c>
      <c r="F149" s="6" t="s">
        <v>29</v>
      </c>
      <c r="G149" s="8">
        <v>123</v>
      </c>
      <c r="H149" s="9">
        <v>228.21</v>
      </c>
    </row>
    <row r="150" spans="1:8" x14ac:dyDescent="0.3">
      <c r="A150" s="6">
        <v>10406</v>
      </c>
      <c r="B150" s="6" t="s">
        <v>8</v>
      </c>
      <c r="C150" s="7">
        <v>45677</v>
      </c>
      <c r="D150" s="7">
        <v>45705</v>
      </c>
      <c r="E150" s="6" t="s">
        <v>16</v>
      </c>
      <c r="F150" s="6" t="s">
        <v>29</v>
      </c>
      <c r="G150" s="8">
        <v>123</v>
      </c>
      <c r="H150" s="9">
        <v>209.51</v>
      </c>
    </row>
    <row r="151" spans="1:8" x14ac:dyDescent="0.3">
      <c r="A151" s="6">
        <v>10409</v>
      </c>
      <c r="B151" s="6" t="s">
        <v>32</v>
      </c>
      <c r="C151" s="7">
        <v>45857</v>
      </c>
      <c r="D151" s="7">
        <v>45885</v>
      </c>
      <c r="E151" s="6" t="s">
        <v>14</v>
      </c>
      <c r="F151" s="6" t="s">
        <v>29</v>
      </c>
      <c r="G151" s="8">
        <v>1250</v>
      </c>
      <c r="H151" s="9">
        <v>96.03</v>
      </c>
    </row>
    <row r="152" spans="1:8" x14ac:dyDescent="0.3">
      <c r="A152" s="6">
        <v>10249</v>
      </c>
      <c r="B152" s="6" t="s">
        <v>11</v>
      </c>
      <c r="C152" s="7">
        <v>45943</v>
      </c>
      <c r="D152" s="7">
        <v>45964</v>
      </c>
      <c r="E152" s="6" t="s">
        <v>9</v>
      </c>
      <c r="F152" s="6" t="s">
        <v>12</v>
      </c>
      <c r="G152" s="8">
        <v>99</v>
      </c>
      <c r="H152" s="9">
        <v>3.13</v>
      </c>
    </row>
    <row r="153" spans="1:8" x14ac:dyDescent="0.3">
      <c r="A153" s="6">
        <v>10250</v>
      </c>
      <c r="B153" s="6" t="s">
        <v>13</v>
      </c>
      <c r="C153" s="7">
        <v>45700</v>
      </c>
      <c r="D153" s="7">
        <v>45707</v>
      </c>
      <c r="E153" s="6" t="s">
        <v>14</v>
      </c>
      <c r="F153" s="6" t="s">
        <v>12</v>
      </c>
      <c r="G153" s="8">
        <v>23</v>
      </c>
      <c r="H153" s="9">
        <v>204.15</v>
      </c>
    </row>
    <row r="154" spans="1:8" x14ac:dyDescent="0.3">
      <c r="A154" s="6">
        <v>10264</v>
      </c>
      <c r="B154" s="6" t="s">
        <v>8</v>
      </c>
      <c r="C154" s="7">
        <v>45709</v>
      </c>
      <c r="D154" s="7">
        <v>45730</v>
      </c>
      <c r="E154" s="6" t="s">
        <v>16</v>
      </c>
      <c r="F154" s="6" t="s">
        <v>12</v>
      </c>
      <c r="G154" s="8">
        <v>76</v>
      </c>
      <c r="H154" s="9">
        <v>241.9</v>
      </c>
    </row>
    <row r="155" spans="1:8" x14ac:dyDescent="0.3">
      <c r="A155" s="6">
        <v>10292</v>
      </c>
      <c r="B155" s="6" t="s">
        <v>15</v>
      </c>
      <c r="C155" s="7">
        <v>45820</v>
      </c>
      <c r="D155" s="7">
        <v>45848</v>
      </c>
      <c r="E155" s="6" t="s">
        <v>9</v>
      </c>
      <c r="F155" s="6" t="s">
        <v>12</v>
      </c>
      <c r="G155" s="8">
        <v>569</v>
      </c>
      <c r="H155" s="9">
        <v>244.83</v>
      </c>
    </row>
    <row r="156" spans="1:8" x14ac:dyDescent="0.3">
      <c r="A156" s="6">
        <v>10356</v>
      </c>
      <c r="B156" s="6" t="s">
        <v>15</v>
      </c>
      <c r="C156" s="7">
        <v>45894</v>
      </c>
      <c r="D156" s="7">
        <v>45908</v>
      </c>
      <c r="E156" s="6" t="s">
        <v>16</v>
      </c>
      <c r="F156" s="6" t="s">
        <v>12</v>
      </c>
      <c r="G156" s="8">
        <v>1000</v>
      </c>
      <c r="H156" s="9">
        <v>152.63999999999999</v>
      </c>
    </row>
    <row r="157" spans="1:8" x14ac:dyDescent="0.3">
      <c r="A157" s="6">
        <v>10360</v>
      </c>
      <c r="B157" s="6" t="s">
        <v>28</v>
      </c>
      <c r="C157" s="7">
        <v>45862</v>
      </c>
      <c r="D157" s="7">
        <v>45869</v>
      </c>
      <c r="E157" s="6" t="s">
        <v>9</v>
      </c>
      <c r="F157" s="6" t="s">
        <v>12</v>
      </c>
      <c r="G157" s="8">
        <v>112</v>
      </c>
      <c r="H157" s="9">
        <v>210.52</v>
      </c>
    </row>
    <row r="158" spans="1:8" x14ac:dyDescent="0.3">
      <c r="A158" s="6">
        <v>10369</v>
      </c>
      <c r="B158" s="6" t="s">
        <v>47</v>
      </c>
      <c r="C158" s="7">
        <v>45900</v>
      </c>
      <c r="D158" s="7">
        <v>45910</v>
      </c>
      <c r="E158" s="6" t="s">
        <v>9</v>
      </c>
      <c r="F158" s="6" t="s">
        <v>12</v>
      </c>
      <c r="G158" s="8">
        <v>99</v>
      </c>
      <c r="H158" s="9">
        <v>101.51</v>
      </c>
    </row>
    <row r="159" spans="1:8" x14ac:dyDescent="0.3">
      <c r="A159" s="6">
        <v>10397</v>
      </c>
      <c r="B159" s="6" t="s">
        <v>25</v>
      </c>
      <c r="C159" s="7">
        <v>45721</v>
      </c>
      <c r="D159" s="7">
        <v>45728</v>
      </c>
      <c r="E159" s="6" t="s">
        <v>16</v>
      </c>
      <c r="F159" s="6" t="s">
        <v>12</v>
      </c>
      <c r="G159" s="8">
        <v>44</v>
      </c>
      <c r="H159" s="9">
        <v>211.83</v>
      </c>
    </row>
    <row r="160" spans="1:8" x14ac:dyDescent="0.3">
      <c r="A160" s="6">
        <v>10403</v>
      </c>
      <c r="B160" s="6" t="s">
        <v>23</v>
      </c>
      <c r="C160" s="7">
        <v>45934</v>
      </c>
      <c r="D160" s="7">
        <v>45955</v>
      </c>
      <c r="E160" s="6" t="s">
        <v>16</v>
      </c>
      <c r="F160" s="6" t="s">
        <v>12</v>
      </c>
      <c r="G160" s="8">
        <v>99</v>
      </c>
      <c r="H160" s="9">
        <v>45.97</v>
      </c>
    </row>
    <row r="161" spans="1:8" x14ac:dyDescent="0.3">
      <c r="A161" s="6">
        <v>10271</v>
      </c>
      <c r="B161" s="6" t="s">
        <v>8</v>
      </c>
      <c r="C161" s="7">
        <v>45959</v>
      </c>
      <c r="D161" s="7">
        <v>45973</v>
      </c>
      <c r="E161" s="6" t="s">
        <v>16</v>
      </c>
      <c r="F161" s="6" t="s">
        <v>45</v>
      </c>
      <c r="G161" s="8">
        <v>66</v>
      </c>
      <c r="H161" s="9">
        <v>131.21</v>
      </c>
    </row>
    <row r="162" spans="1:8" x14ac:dyDescent="0.3">
      <c r="A162" s="6">
        <v>10272</v>
      </c>
      <c r="B162" s="6" t="s">
        <v>31</v>
      </c>
      <c r="C162" s="7">
        <v>45759</v>
      </c>
      <c r="D162" s="7">
        <v>45780</v>
      </c>
      <c r="E162" s="6" t="s">
        <v>14</v>
      </c>
      <c r="F162" s="6" t="s">
        <v>45</v>
      </c>
      <c r="G162" s="8">
        <v>44</v>
      </c>
      <c r="H162" s="9">
        <v>15.22</v>
      </c>
    </row>
    <row r="163" spans="1:8" x14ac:dyDescent="0.3">
      <c r="A163" s="6">
        <v>10304</v>
      </c>
      <c r="B163" s="6" t="s">
        <v>59</v>
      </c>
      <c r="C163" s="7">
        <v>45772</v>
      </c>
      <c r="D163" s="7">
        <v>45800</v>
      </c>
      <c r="E163" s="6" t="s">
        <v>9</v>
      </c>
      <c r="F163" s="6" t="s">
        <v>45</v>
      </c>
      <c r="G163" s="8">
        <v>445</v>
      </c>
      <c r="H163" s="9">
        <v>237.87</v>
      </c>
    </row>
    <row r="164" spans="1:8" x14ac:dyDescent="0.3">
      <c r="A164" s="6">
        <v>10311</v>
      </c>
      <c r="B164" s="6" t="s">
        <v>59</v>
      </c>
      <c r="C164" s="7">
        <v>45712</v>
      </c>
      <c r="D164" s="7">
        <v>45719</v>
      </c>
      <c r="E164" s="6" t="s">
        <v>9</v>
      </c>
      <c r="F164" s="6" t="s">
        <v>45</v>
      </c>
      <c r="G164" s="8">
        <v>345</v>
      </c>
      <c r="H164" s="9">
        <v>138</v>
      </c>
    </row>
    <row r="165" spans="1:8" x14ac:dyDescent="0.3">
      <c r="A165" s="6">
        <v>10323</v>
      </c>
      <c r="B165" s="6" t="s">
        <v>56</v>
      </c>
      <c r="C165" s="7">
        <v>45837</v>
      </c>
      <c r="D165" s="7">
        <v>45851</v>
      </c>
      <c r="E165" s="6" t="s">
        <v>9</v>
      </c>
      <c r="F165" s="6" t="s">
        <v>45</v>
      </c>
      <c r="G165" s="8">
        <v>88</v>
      </c>
      <c r="H165" s="9">
        <v>40.71</v>
      </c>
    </row>
    <row r="166" spans="1:8" x14ac:dyDescent="0.3">
      <c r="A166" s="6">
        <v>10372</v>
      </c>
      <c r="B166" s="6" t="s">
        <v>11</v>
      </c>
      <c r="C166" s="7">
        <v>45930</v>
      </c>
      <c r="D166" s="7">
        <v>45937</v>
      </c>
      <c r="E166" s="6" t="s">
        <v>14</v>
      </c>
      <c r="F166" s="6" t="s">
        <v>45</v>
      </c>
      <c r="G166" s="8">
        <v>34</v>
      </c>
      <c r="H166" s="9">
        <v>133.56</v>
      </c>
    </row>
    <row r="167" spans="1:8" x14ac:dyDescent="0.3">
      <c r="A167" s="6">
        <v>10396</v>
      </c>
      <c r="B167" s="6" t="s">
        <v>13</v>
      </c>
      <c r="C167" s="7">
        <v>45669</v>
      </c>
      <c r="D167" s="7">
        <v>45690</v>
      </c>
      <c r="E167" s="6" t="s">
        <v>14</v>
      </c>
      <c r="F167" s="6" t="s">
        <v>45</v>
      </c>
      <c r="G167" s="8">
        <v>23</v>
      </c>
      <c r="H167" s="9">
        <v>112.41</v>
      </c>
    </row>
    <row r="168" spans="1:8" x14ac:dyDescent="0.3">
      <c r="A168" s="6">
        <v>10401</v>
      </c>
      <c r="B168" s="6" t="s">
        <v>55</v>
      </c>
      <c r="C168" s="7">
        <v>45825</v>
      </c>
      <c r="D168" s="7">
        <v>45835</v>
      </c>
      <c r="E168" s="6" t="s">
        <v>14</v>
      </c>
      <c r="F168" s="6" t="s">
        <v>45</v>
      </c>
      <c r="G168" s="8">
        <v>66</v>
      </c>
      <c r="H168" s="9">
        <v>151.38</v>
      </c>
    </row>
    <row r="169" spans="1:8" x14ac:dyDescent="0.3">
      <c r="A169" s="6">
        <v>10412</v>
      </c>
      <c r="B169" s="6" t="s">
        <v>21</v>
      </c>
      <c r="C169" s="7">
        <v>45702</v>
      </c>
      <c r="D169" s="7">
        <v>45709</v>
      </c>
      <c r="E169" s="6" t="s">
        <v>14</v>
      </c>
      <c r="F169" s="6" t="s">
        <v>45</v>
      </c>
      <c r="G169" s="8">
        <v>56</v>
      </c>
      <c r="H169" s="9">
        <v>115.7</v>
      </c>
    </row>
    <row r="170" spans="1:8" x14ac:dyDescent="0.3">
      <c r="A170" s="6">
        <v>10270</v>
      </c>
      <c r="B170" s="6" t="s">
        <v>43</v>
      </c>
      <c r="C170" s="7">
        <v>45917</v>
      </c>
      <c r="D170" s="7">
        <v>45931</v>
      </c>
      <c r="E170" s="6" t="s">
        <v>16</v>
      </c>
      <c r="F170" s="6" t="s">
        <v>44</v>
      </c>
      <c r="G170" s="8">
        <v>66</v>
      </c>
      <c r="H170" s="9">
        <v>196.4</v>
      </c>
    </row>
    <row r="171" spans="1:8" x14ac:dyDescent="0.3">
      <c r="A171" s="6">
        <v>10280</v>
      </c>
      <c r="B171" s="6" t="s">
        <v>52</v>
      </c>
      <c r="C171" s="7">
        <v>45855</v>
      </c>
      <c r="D171" s="7">
        <v>45869</v>
      </c>
      <c r="E171" s="6" t="s">
        <v>16</v>
      </c>
      <c r="F171" s="6" t="s">
        <v>44</v>
      </c>
      <c r="G171" s="8">
        <v>112</v>
      </c>
      <c r="H171" s="9">
        <v>117.32</v>
      </c>
    </row>
    <row r="172" spans="1:8" x14ac:dyDescent="0.3">
      <c r="A172" s="6">
        <v>10349</v>
      </c>
      <c r="B172" s="6" t="s">
        <v>20</v>
      </c>
      <c r="C172" s="7">
        <v>45841</v>
      </c>
      <c r="D172" s="7">
        <v>45851</v>
      </c>
      <c r="E172" s="6" t="s">
        <v>14</v>
      </c>
      <c r="F172" s="6" t="s">
        <v>44</v>
      </c>
      <c r="G172" s="8">
        <v>34</v>
      </c>
      <c r="H172" s="9">
        <v>188.46</v>
      </c>
    </row>
    <row r="173" spans="1:8" x14ac:dyDescent="0.3">
      <c r="A173" s="6">
        <v>10353</v>
      </c>
      <c r="B173" s="6" t="s">
        <v>53</v>
      </c>
      <c r="C173" s="7">
        <v>45959</v>
      </c>
      <c r="D173" s="7">
        <v>45973</v>
      </c>
      <c r="E173" s="6" t="s">
        <v>14</v>
      </c>
      <c r="F173" s="6" t="s">
        <v>44</v>
      </c>
      <c r="G173" s="8">
        <v>987</v>
      </c>
      <c r="H173" s="9">
        <v>49.85</v>
      </c>
    </row>
    <row r="174" spans="1:8" x14ac:dyDescent="0.3">
      <c r="A174" s="6">
        <v>10354</v>
      </c>
      <c r="B174" s="6" t="s">
        <v>27</v>
      </c>
      <c r="C174" s="7">
        <v>45705</v>
      </c>
      <c r="D174" s="7">
        <v>45726</v>
      </c>
      <c r="E174" s="6" t="s">
        <v>14</v>
      </c>
      <c r="F174" s="6" t="s">
        <v>44</v>
      </c>
      <c r="G174" s="8">
        <v>99</v>
      </c>
      <c r="H174" s="9">
        <v>58.1</v>
      </c>
    </row>
    <row r="175" spans="1:8" x14ac:dyDescent="0.3">
      <c r="A175" s="6">
        <v>10377</v>
      </c>
      <c r="B175" s="6" t="s">
        <v>58</v>
      </c>
      <c r="C175" s="7">
        <v>45784</v>
      </c>
      <c r="D175" s="7">
        <v>45794</v>
      </c>
      <c r="E175" s="6" t="s">
        <v>16</v>
      </c>
      <c r="F175" s="6" t="s">
        <v>44</v>
      </c>
      <c r="G175" s="8">
        <v>987</v>
      </c>
      <c r="H175" s="9">
        <v>68.430000000000007</v>
      </c>
    </row>
    <row r="176" spans="1:8" x14ac:dyDescent="0.3">
      <c r="A176" s="6">
        <v>10399</v>
      </c>
      <c r="B176" s="6" t="s">
        <v>13</v>
      </c>
      <c r="C176" s="7">
        <v>45869</v>
      </c>
      <c r="D176" s="7">
        <v>45890</v>
      </c>
      <c r="E176" s="6" t="s">
        <v>16</v>
      </c>
      <c r="F176" s="6" t="s">
        <v>44</v>
      </c>
      <c r="G176" s="8">
        <v>56</v>
      </c>
      <c r="H176" s="9">
        <v>154.07</v>
      </c>
    </row>
    <row r="177" spans="1:8" x14ac:dyDescent="0.3">
      <c r="A177" s="6">
        <v>10404</v>
      </c>
      <c r="B177" s="6" t="s">
        <v>38</v>
      </c>
      <c r="C177" s="7">
        <v>45813</v>
      </c>
      <c r="D177" s="7">
        <v>45820</v>
      </c>
      <c r="E177" s="6" t="s">
        <v>16</v>
      </c>
      <c r="F177" s="6" t="s">
        <v>44</v>
      </c>
      <c r="G177" s="8">
        <v>569</v>
      </c>
      <c r="H177" s="9">
        <v>168.36</v>
      </c>
    </row>
    <row r="178" spans="1:8" x14ac:dyDescent="0.3">
      <c r="A178" s="6">
        <v>10410</v>
      </c>
      <c r="B178" s="6" t="s">
        <v>64</v>
      </c>
      <c r="C178" s="7">
        <v>45673</v>
      </c>
      <c r="D178" s="7">
        <v>45680</v>
      </c>
      <c r="E178" s="6" t="s">
        <v>14</v>
      </c>
      <c r="F178" s="6" t="s">
        <v>44</v>
      </c>
      <c r="G178" s="8">
        <v>789</v>
      </c>
      <c r="H178" s="9">
        <v>155.4</v>
      </c>
    </row>
    <row r="179" spans="1:8" x14ac:dyDescent="0.3">
      <c r="A179" s="6">
        <v>10276</v>
      </c>
      <c r="B179" s="6" t="s">
        <v>50</v>
      </c>
      <c r="C179" s="7">
        <v>45778</v>
      </c>
      <c r="D179" s="7">
        <v>45785</v>
      </c>
      <c r="E179" s="6" t="s">
        <v>14</v>
      </c>
      <c r="F179" s="6" t="s">
        <v>51</v>
      </c>
      <c r="G179" s="8">
        <v>76</v>
      </c>
      <c r="H179" s="9">
        <v>13.7</v>
      </c>
    </row>
    <row r="180" spans="1:8" x14ac:dyDescent="0.3">
      <c r="A180" s="6">
        <v>10277</v>
      </c>
      <c r="B180" s="6" t="s">
        <v>37</v>
      </c>
      <c r="C180" s="7">
        <v>45937</v>
      </c>
      <c r="D180" s="7">
        <v>45944</v>
      </c>
      <c r="E180" s="6" t="s">
        <v>9</v>
      </c>
      <c r="F180" s="6" t="s">
        <v>51</v>
      </c>
      <c r="G180" s="8">
        <v>789</v>
      </c>
      <c r="H180" s="9">
        <v>178.46</v>
      </c>
    </row>
    <row r="181" spans="1:8" x14ac:dyDescent="0.3">
      <c r="A181" s="6">
        <v>10305</v>
      </c>
      <c r="B181" s="6" t="s">
        <v>35</v>
      </c>
      <c r="C181" s="7">
        <v>45778</v>
      </c>
      <c r="D181" s="7">
        <v>45806</v>
      </c>
      <c r="E181" s="6" t="s">
        <v>16</v>
      </c>
      <c r="F181" s="6" t="s">
        <v>51</v>
      </c>
      <c r="G181" s="8">
        <v>445</v>
      </c>
      <c r="H181" s="9">
        <v>91.38</v>
      </c>
    </row>
    <row r="182" spans="1:8" x14ac:dyDescent="0.3">
      <c r="A182" s="6">
        <v>10309</v>
      </c>
      <c r="B182" s="6" t="s">
        <v>46</v>
      </c>
      <c r="C182" s="7">
        <v>45729</v>
      </c>
      <c r="D182" s="7">
        <v>45736</v>
      </c>
      <c r="E182" s="6" t="s">
        <v>9</v>
      </c>
      <c r="F182" s="6" t="s">
        <v>51</v>
      </c>
      <c r="G182" s="8">
        <v>1250</v>
      </c>
      <c r="H182" s="9">
        <v>78.41</v>
      </c>
    </row>
    <row r="183" spans="1:8" x14ac:dyDescent="0.3">
      <c r="A183" s="6">
        <v>10322</v>
      </c>
      <c r="B183" s="6" t="s">
        <v>47</v>
      </c>
      <c r="C183" s="7">
        <v>45911</v>
      </c>
      <c r="D183" s="7">
        <v>45932</v>
      </c>
      <c r="E183" s="6" t="s">
        <v>14</v>
      </c>
      <c r="F183" s="6" t="s">
        <v>51</v>
      </c>
      <c r="G183" s="8">
        <v>667</v>
      </c>
      <c r="H183" s="9">
        <v>56.99</v>
      </c>
    </row>
    <row r="184" spans="1:8" x14ac:dyDescent="0.3">
      <c r="A184" s="6">
        <v>10339</v>
      </c>
      <c r="B184" s="6" t="s">
        <v>50</v>
      </c>
      <c r="C184" s="7">
        <v>45799</v>
      </c>
      <c r="D184" s="7">
        <v>45827</v>
      </c>
      <c r="E184" s="6" t="s">
        <v>16</v>
      </c>
      <c r="F184" s="6" t="s">
        <v>51</v>
      </c>
      <c r="G184" s="8">
        <v>1250</v>
      </c>
      <c r="H184" s="9">
        <v>15.91</v>
      </c>
    </row>
    <row r="185" spans="1:8" x14ac:dyDescent="0.3">
      <c r="A185" s="6">
        <v>10411</v>
      </c>
      <c r="B185" s="6" t="s">
        <v>27</v>
      </c>
      <c r="C185" s="7">
        <v>45901</v>
      </c>
      <c r="D185" s="7">
        <v>45911</v>
      </c>
      <c r="E185" s="6" t="s">
        <v>9</v>
      </c>
      <c r="F185" s="6" t="s">
        <v>51</v>
      </c>
      <c r="G185" s="8">
        <v>445</v>
      </c>
      <c r="H185" s="9">
        <v>10.19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53"/>
  <sheetViews>
    <sheetView showGridLines="0" workbookViewId="0">
      <pane ySplit="5" topLeftCell="A15" activePane="bottomLeft" state="frozen"/>
      <selection pane="bottomLeft"/>
    </sheetView>
  </sheetViews>
  <sheetFormatPr baseColWidth="10" defaultColWidth="9.109375" defaultRowHeight="14.4" x14ac:dyDescent="0.3"/>
  <cols>
    <col min="1" max="1" width="6" customWidth="1"/>
    <col min="2" max="2" width="14" customWidth="1"/>
    <col min="3" max="4" width="8" customWidth="1"/>
    <col min="5" max="5" width="14" customWidth="1"/>
    <col min="6" max="6" width="10" customWidth="1"/>
    <col min="7" max="7" width="14" customWidth="1"/>
    <col min="8" max="8" width="10" customWidth="1"/>
  </cols>
  <sheetData>
    <row r="2" spans="1:8" ht="23.4" x14ac:dyDescent="0.45">
      <c r="B2" s="1" t="s">
        <v>129</v>
      </c>
    </row>
    <row r="3" spans="1:8" ht="100.8" x14ac:dyDescent="0.3">
      <c r="B3" s="2" t="s">
        <v>130</v>
      </c>
    </row>
    <row r="5" spans="1:8" x14ac:dyDescent="0.3">
      <c r="A5" s="5" t="s">
        <v>131</v>
      </c>
      <c r="B5" s="5" t="s">
        <v>132</v>
      </c>
      <c r="C5" s="5" t="s">
        <v>133</v>
      </c>
      <c r="D5" s="5" t="s">
        <v>134</v>
      </c>
      <c r="E5" s="5" t="s">
        <v>135</v>
      </c>
      <c r="F5" s="5" t="s">
        <v>136</v>
      </c>
      <c r="G5" s="5" t="s">
        <v>137</v>
      </c>
      <c r="H5" s="5" t="s">
        <v>138</v>
      </c>
    </row>
    <row r="6" spans="1:8" x14ac:dyDescent="0.3">
      <c r="A6" s="6">
        <v>25</v>
      </c>
      <c r="B6" s="6" t="s">
        <v>139</v>
      </c>
      <c r="C6" s="6">
        <v>2023</v>
      </c>
      <c r="D6" s="6" t="s">
        <v>140</v>
      </c>
      <c r="E6" s="8">
        <v>9498.93</v>
      </c>
      <c r="F6" s="26">
        <v>921</v>
      </c>
      <c r="G6" s="6" t="s">
        <v>141</v>
      </c>
      <c r="H6" s="6" t="s">
        <v>142</v>
      </c>
    </row>
    <row r="7" spans="1:8" x14ac:dyDescent="0.3">
      <c r="A7" s="6">
        <v>27</v>
      </c>
      <c r="B7" s="6" t="s">
        <v>139</v>
      </c>
      <c r="C7" s="6">
        <v>2026</v>
      </c>
      <c r="D7" s="6" t="s">
        <v>143</v>
      </c>
      <c r="E7" s="8">
        <v>8647.9599999999991</v>
      </c>
      <c r="F7" s="26">
        <v>749</v>
      </c>
      <c r="G7" s="6" t="s">
        <v>144</v>
      </c>
      <c r="H7" s="6" t="s">
        <v>142</v>
      </c>
    </row>
    <row r="8" spans="1:8" x14ac:dyDescent="0.3">
      <c r="A8" s="6">
        <v>40</v>
      </c>
      <c r="B8" s="6" t="s">
        <v>139</v>
      </c>
      <c r="C8" s="6">
        <v>2025</v>
      </c>
      <c r="D8" s="6" t="s">
        <v>145</v>
      </c>
      <c r="E8" s="8">
        <v>2720.63</v>
      </c>
      <c r="F8" s="26">
        <v>906</v>
      </c>
      <c r="G8" s="6" t="s">
        <v>146</v>
      </c>
      <c r="H8" s="6" t="s">
        <v>142</v>
      </c>
    </row>
    <row r="9" spans="1:8" x14ac:dyDescent="0.3">
      <c r="A9" s="6">
        <v>15</v>
      </c>
      <c r="B9" s="6" t="s">
        <v>147</v>
      </c>
      <c r="C9" s="6">
        <v>2025</v>
      </c>
      <c r="D9" s="6" t="s">
        <v>148</v>
      </c>
      <c r="E9" s="8">
        <v>7595.57</v>
      </c>
      <c r="F9" s="26">
        <v>786</v>
      </c>
      <c r="G9" s="6" t="s">
        <v>146</v>
      </c>
      <c r="H9" s="6" t="s">
        <v>142</v>
      </c>
    </row>
    <row r="10" spans="1:8" x14ac:dyDescent="0.3">
      <c r="A10" s="6">
        <v>18</v>
      </c>
      <c r="B10" s="6" t="s">
        <v>147</v>
      </c>
      <c r="C10" s="6">
        <v>2025</v>
      </c>
      <c r="D10" s="6" t="s">
        <v>140</v>
      </c>
      <c r="E10" s="8">
        <v>1363.35</v>
      </c>
      <c r="F10" s="26">
        <v>631</v>
      </c>
      <c r="G10" s="6" t="s">
        <v>149</v>
      </c>
      <c r="H10" s="6" t="s">
        <v>142</v>
      </c>
    </row>
    <row r="11" spans="1:8" x14ac:dyDescent="0.3">
      <c r="A11" s="6">
        <v>8</v>
      </c>
      <c r="B11" s="6" t="s">
        <v>150</v>
      </c>
      <c r="C11" s="6">
        <v>2023</v>
      </c>
      <c r="D11" s="6" t="s">
        <v>140</v>
      </c>
      <c r="E11" s="8">
        <v>1680.53</v>
      </c>
      <c r="F11" s="26">
        <v>508</v>
      </c>
      <c r="G11" s="6" t="s">
        <v>144</v>
      </c>
      <c r="H11" s="6" t="s">
        <v>142</v>
      </c>
    </row>
    <row r="12" spans="1:8" x14ac:dyDescent="0.3">
      <c r="A12" s="6">
        <v>9</v>
      </c>
      <c r="B12" s="6" t="s">
        <v>150</v>
      </c>
      <c r="C12" s="6">
        <v>2023</v>
      </c>
      <c r="D12" s="6" t="s">
        <v>143</v>
      </c>
      <c r="E12" s="8">
        <v>9789.4500000000007</v>
      </c>
      <c r="F12" s="26">
        <v>832</v>
      </c>
      <c r="G12" s="6" t="s">
        <v>141</v>
      </c>
      <c r="H12" s="6" t="s">
        <v>142</v>
      </c>
    </row>
    <row r="13" spans="1:8" x14ac:dyDescent="0.3">
      <c r="A13" s="6">
        <v>16</v>
      </c>
      <c r="B13" s="6" t="s">
        <v>150</v>
      </c>
      <c r="C13" s="6">
        <v>2024</v>
      </c>
      <c r="D13" s="6" t="s">
        <v>151</v>
      </c>
      <c r="E13" s="8">
        <v>4091.03</v>
      </c>
      <c r="F13" s="26">
        <v>448</v>
      </c>
      <c r="G13" s="6" t="s">
        <v>141</v>
      </c>
      <c r="H13" s="6" t="s">
        <v>142</v>
      </c>
    </row>
    <row r="14" spans="1:8" x14ac:dyDescent="0.3">
      <c r="A14" s="6">
        <v>22</v>
      </c>
      <c r="B14" s="6" t="s">
        <v>150</v>
      </c>
      <c r="C14" s="6">
        <v>2024</v>
      </c>
      <c r="D14" s="6" t="s">
        <v>152</v>
      </c>
      <c r="E14" s="8">
        <v>9732.2099999999991</v>
      </c>
      <c r="F14" s="26">
        <v>897</v>
      </c>
      <c r="G14" s="6" t="s">
        <v>149</v>
      </c>
      <c r="H14" s="6" t="s">
        <v>142</v>
      </c>
    </row>
    <row r="15" spans="1:8" x14ac:dyDescent="0.3">
      <c r="A15" s="6">
        <v>28</v>
      </c>
      <c r="B15" s="6" t="s">
        <v>150</v>
      </c>
      <c r="C15" s="6">
        <v>2025</v>
      </c>
      <c r="D15" s="6" t="s">
        <v>153</v>
      </c>
      <c r="E15" s="8">
        <v>757.87</v>
      </c>
      <c r="F15" s="26">
        <v>940</v>
      </c>
      <c r="G15" s="6" t="s">
        <v>146</v>
      </c>
      <c r="H15" s="6" t="s">
        <v>142</v>
      </c>
    </row>
    <row r="16" spans="1:8" x14ac:dyDescent="0.3">
      <c r="A16" s="6">
        <v>4</v>
      </c>
      <c r="B16" s="6" t="s">
        <v>154</v>
      </c>
      <c r="C16" s="6">
        <v>2023</v>
      </c>
      <c r="D16" s="6" t="s">
        <v>155</v>
      </c>
      <c r="E16" s="8">
        <v>4344.21</v>
      </c>
      <c r="F16" s="26">
        <v>125</v>
      </c>
      <c r="G16" s="6" t="s">
        <v>149</v>
      </c>
      <c r="H16" s="6" t="s">
        <v>142</v>
      </c>
    </row>
    <row r="17" spans="1:8" x14ac:dyDescent="0.3">
      <c r="A17" s="6">
        <v>26</v>
      </c>
      <c r="B17" s="6" t="s">
        <v>154</v>
      </c>
      <c r="C17" s="6">
        <v>2025</v>
      </c>
      <c r="D17" s="6" t="s">
        <v>140</v>
      </c>
      <c r="E17" s="8">
        <v>3277.37</v>
      </c>
      <c r="F17" s="26">
        <v>798</v>
      </c>
      <c r="G17" s="6" t="s">
        <v>156</v>
      </c>
      <c r="H17" s="6" t="s">
        <v>142</v>
      </c>
    </row>
    <row r="18" spans="1:8" x14ac:dyDescent="0.3">
      <c r="A18" s="6">
        <v>6</v>
      </c>
      <c r="B18" s="6" t="s">
        <v>139</v>
      </c>
      <c r="C18" s="6">
        <v>2025</v>
      </c>
      <c r="D18" s="6" t="s">
        <v>157</v>
      </c>
      <c r="E18" s="8">
        <v>2418.0300000000002</v>
      </c>
      <c r="F18" s="26">
        <v>139</v>
      </c>
      <c r="G18" s="6" t="s">
        <v>156</v>
      </c>
      <c r="H18" s="6" t="s">
        <v>158</v>
      </c>
    </row>
    <row r="19" spans="1:8" x14ac:dyDescent="0.3">
      <c r="A19" s="6">
        <v>11</v>
      </c>
      <c r="B19" s="6" t="s">
        <v>139</v>
      </c>
      <c r="C19" s="6">
        <v>2026</v>
      </c>
      <c r="D19" s="6" t="s">
        <v>153</v>
      </c>
      <c r="E19" s="8">
        <v>9156.36</v>
      </c>
      <c r="F19" s="26">
        <v>504</v>
      </c>
      <c r="G19" s="6" t="s">
        <v>146</v>
      </c>
      <c r="H19" s="6" t="s">
        <v>158</v>
      </c>
    </row>
    <row r="20" spans="1:8" x14ac:dyDescent="0.3">
      <c r="A20" s="6">
        <v>29</v>
      </c>
      <c r="B20" s="6" t="s">
        <v>139</v>
      </c>
      <c r="C20" s="6">
        <v>2026</v>
      </c>
      <c r="D20" s="6" t="s">
        <v>159</v>
      </c>
      <c r="E20" s="8">
        <v>8295.85</v>
      </c>
      <c r="F20" s="26">
        <v>779</v>
      </c>
      <c r="G20" s="6" t="s">
        <v>146</v>
      </c>
      <c r="H20" s="6" t="s">
        <v>158</v>
      </c>
    </row>
    <row r="21" spans="1:8" x14ac:dyDescent="0.3">
      <c r="A21" s="6">
        <v>24</v>
      </c>
      <c r="B21" s="6" t="s">
        <v>147</v>
      </c>
      <c r="C21" s="6">
        <v>2025</v>
      </c>
      <c r="D21" s="6" t="s">
        <v>151</v>
      </c>
      <c r="E21" s="8">
        <v>4151.17</v>
      </c>
      <c r="F21" s="26">
        <v>888</v>
      </c>
      <c r="G21" s="6" t="s">
        <v>156</v>
      </c>
      <c r="H21" s="6" t="s">
        <v>158</v>
      </c>
    </row>
    <row r="22" spans="1:8" x14ac:dyDescent="0.3">
      <c r="A22" s="6">
        <v>41</v>
      </c>
      <c r="B22" s="6" t="s">
        <v>147</v>
      </c>
      <c r="C22" s="6">
        <v>2025</v>
      </c>
      <c r="D22" s="6" t="s">
        <v>148</v>
      </c>
      <c r="E22" s="8">
        <v>1236.75</v>
      </c>
      <c r="F22" s="26">
        <v>260</v>
      </c>
      <c r="G22" s="6" t="s">
        <v>144</v>
      </c>
      <c r="H22" s="6" t="s">
        <v>158</v>
      </c>
    </row>
    <row r="23" spans="1:8" x14ac:dyDescent="0.3">
      <c r="A23" s="6">
        <v>14</v>
      </c>
      <c r="B23" s="6" t="s">
        <v>150</v>
      </c>
      <c r="C23" s="6">
        <v>2024</v>
      </c>
      <c r="D23" s="6" t="s">
        <v>160</v>
      </c>
      <c r="E23" s="8">
        <v>2282.75</v>
      </c>
      <c r="F23" s="26">
        <v>838</v>
      </c>
      <c r="G23" s="6" t="s">
        <v>141</v>
      </c>
      <c r="H23" s="6" t="s">
        <v>158</v>
      </c>
    </row>
    <row r="24" spans="1:8" x14ac:dyDescent="0.3">
      <c r="A24" s="6">
        <v>17</v>
      </c>
      <c r="B24" s="6" t="s">
        <v>150</v>
      </c>
      <c r="C24" s="6">
        <v>2025</v>
      </c>
      <c r="D24" s="6" t="s">
        <v>152</v>
      </c>
      <c r="E24" s="8">
        <v>6731.23</v>
      </c>
      <c r="F24" s="26">
        <v>363</v>
      </c>
      <c r="G24" s="6" t="s">
        <v>149</v>
      </c>
      <c r="H24" s="6" t="s">
        <v>158</v>
      </c>
    </row>
    <row r="25" spans="1:8" x14ac:dyDescent="0.3">
      <c r="A25" s="6">
        <v>19</v>
      </c>
      <c r="B25" s="6" t="s">
        <v>150</v>
      </c>
      <c r="C25" s="6">
        <v>2024</v>
      </c>
      <c r="D25" s="6" t="s">
        <v>151</v>
      </c>
      <c r="E25" s="8">
        <v>5691.58</v>
      </c>
      <c r="F25" s="26">
        <v>885</v>
      </c>
      <c r="G25" s="6" t="s">
        <v>144</v>
      </c>
      <c r="H25" s="6" t="s">
        <v>158</v>
      </c>
    </row>
    <row r="26" spans="1:8" x14ac:dyDescent="0.3">
      <c r="A26" s="6">
        <v>35</v>
      </c>
      <c r="B26" s="6" t="s">
        <v>150</v>
      </c>
      <c r="C26" s="6">
        <v>2024</v>
      </c>
      <c r="D26" s="6" t="s">
        <v>160</v>
      </c>
      <c r="E26" s="8">
        <v>2597.69</v>
      </c>
      <c r="F26" s="26">
        <v>292</v>
      </c>
      <c r="G26" s="6" t="s">
        <v>146</v>
      </c>
      <c r="H26" s="6" t="s">
        <v>158</v>
      </c>
    </row>
    <row r="27" spans="1:8" x14ac:dyDescent="0.3">
      <c r="A27" s="6">
        <v>45</v>
      </c>
      <c r="B27" s="6" t="s">
        <v>150</v>
      </c>
      <c r="C27" s="6">
        <v>2023</v>
      </c>
      <c r="D27" s="6" t="s">
        <v>145</v>
      </c>
      <c r="E27" s="8">
        <v>6878.55</v>
      </c>
      <c r="F27" s="26">
        <v>202</v>
      </c>
      <c r="G27" s="6" t="s">
        <v>156</v>
      </c>
      <c r="H27" s="6" t="s">
        <v>158</v>
      </c>
    </row>
    <row r="28" spans="1:8" x14ac:dyDescent="0.3">
      <c r="A28" s="6">
        <v>23</v>
      </c>
      <c r="B28" s="6" t="s">
        <v>139</v>
      </c>
      <c r="C28" s="6">
        <v>2024</v>
      </c>
      <c r="D28" s="6" t="s">
        <v>145</v>
      </c>
      <c r="E28" s="8">
        <v>3067.29</v>
      </c>
      <c r="F28" s="26">
        <v>730</v>
      </c>
      <c r="G28" s="6" t="s">
        <v>156</v>
      </c>
      <c r="H28" s="6" t="s">
        <v>161</v>
      </c>
    </row>
    <row r="29" spans="1:8" x14ac:dyDescent="0.3">
      <c r="A29" s="6">
        <v>42</v>
      </c>
      <c r="B29" s="6" t="s">
        <v>139</v>
      </c>
      <c r="C29" s="6">
        <v>2026</v>
      </c>
      <c r="D29" s="6" t="s">
        <v>151</v>
      </c>
      <c r="E29" s="8">
        <v>8327.65</v>
      </c>
      <c r="F29" s="26">
        <v>123</v>
      </c>
      <c r="G29" s="6" t="s">
        <v>146</v>
      </c>
      <c r="H29" s="6" t="s">
        <v>161</v>
      </c>
    </row>
    <row r="30" spans="1:8" x14ac:dyDescent="0.3">
      <c r="A30" s="6">
        <v>20</v>
      </c>
      <c r="B30" s="6" t="s">
        <v>147</v>
      </c>
      <c r="C30" s="6">
        <v>2024</v>
      </c>
      <c r="D30" s="6" t="s">
        <v>159</v>
      </c>
      <c r="E30" s="8">
        <v>2843.96</v>
      </c>
      <c r="F30" s="26">
        <v>202</v>
      </c>
      <c r="G30" s="6" t="s">
        <v>141</v>
      </c>
      <c r="H30" s="6" t="s">
        <v>161</v>
      </c>
    </row>
    <row r="31" spans="1:8" x14ac:dyDescent="0.3">
      <c r="A31" s="6">
        <v>37</v>
      </c>
      <c r="B31" s="6" t="s">
        <v>147</v>
      </c>
      <c r="C31" s="6">
        <v>2026</v>
      </c>
      <c r="D31" s="6" t="s">
        <v>162</v>
      </c>
      <c r="E31" s="8">
        <v>1730.08</v>
      </c>
      <c r="F31" s="26">
        <v>283</v>
      </c>
      <c r="G31" s="6" t="s">
        <v>149</v>
      </c>
      <c r="H31" s="6" t="s">
        <v>161</v>
      </c>
    </row>
    <row r="32" spans="1:8" x14ac:dyDescent="0.3">
      <c r="A32" s="6">
        <v>46</v>
      </c>
      <c r="B32" s="6" t="s">
        <v>147</v>
      </c>
      <c r="C32" s="6">
        <v>2025</v>
      </c>
      <c r="D32" s="6" t="s">
        <v>152</v>
      </c>
      <c r="E32" s="8">
        <v>9000.0300000000007</v>
      </c>
      <c r="F32" s="26">
        <v>311</v>
      </c>
      <c r="G32" s="6" t="s">
        <v>146</v>
      </c>
      <c r="H32" s="6" t="s">
        <v>161</v>
      </c>
    </row>
    <row r="33" spans="1:8" x14ac:dyDescent="0.3">
      <c r="A33" s="6">
        <v>2</v>
      </c>
      <c r="B33" s="6" t="s">
        <v>150</v>
      </c>
      <c r="C33" s="6">
        <v>2025</v>
      </c>
      <c r="D33" s="6" t="s">
        <v>160</v>
      </c>
      <c r="E33" s="8">
        <v>7527.75</v>
      </c>
      <c r="F33" s="26">
        <v>543</v>
      </c>
      <c r="G33" s="6" t="s">
        <v>149</v>
      </c>
      <c r="H33" s="6" t="s">
        <v>161</v>
      </c>
    </row>
    <row r="34" spans="1:8" x14ac:dyDescent="0.3">
      <c r="A34" s="6">
        <v>31</v>
      </c>
      <c r="B34" s="6" t="s">
        <v>150</v>
      </c>
      <c r="C34" s="6">
        <v>2025</v>
      </c>
      <c r="D34" s="6" t="s">
        <v>155</v>
      </c>
      <c r="E34" s="8">
        <v>2377.23</v>
      </c>
      <c r="F34" s="26">
        <v>340</v>
      </c>
      <c r="G34" s="6" t="s">
        <v>149</v>
      </c>
      <c r="H34" s="6" t="s">
        <v>161</v>
      </c>
    </row>
    <row r="35" spans="1:8" x14ac:dyDescent="0.3">
      <c r="A35" s="6">
        <v>43</v>
      </c>
      <c r="B35" s="6" t="s">
        <v>150</v>
      </c>
      <c r="C35" s="6">
        <v>2023</v>
      </c>
      <c r="D35" s="6" t="s">
        <v>140</v>
      </c>
      <c r="E35" s="8">
        <v>8252.42</v>
      </c>
      <c r="F35" s="26">
        <v>876</v>
      </c>
      <c r="G35" s="6" t="s">
        <v>141</v>
      </c>
      <c r="H35" s="6" t="s">
        <v>161</v>
      </c>
    </row>
    <row r="36" spans="1:8" x14ac:dyDescent="0.3">
      <c r="A36" s="6">
        <v>47</v>
      </c>
      <c r="B36" s="6" t="s">
        <v>150</v>
      </c>
      <c r="C36" s="6">
        <v>2025</v>
      </c>
      <c r="D36" s="6" t="s">
        <v>148</v>
      </c>
      <c r="E36" s="8">
        <v>5761.42</v>
      </c>
      <c r="F36" s="26">
        <v>360</v>
      </c>
      <c r="G36" s="6" t="s">
        <v>141</v>
      </c>
      <c r="H36" s="6" t="s">
        <v>161</v>
      </c>
    </row>
    <row r="37" spans="1:8" x14ac:dyDescent="0.3">
      <c r="A37" s="6">
        <v>3</v>
      </c>
      <c r="B37" s="6" t="s">
        <v>154</v>
      </c>
      <c r="C37" s="6">
        <v>2025</v>
      </c>
      <c r="D37" s="6" t="s">
        <v>157</v>
      </c>
      <c r="E37" s="8">
        <v>7573.83</v>
      </c>
      <c r="F37" s="26">
        <v>475</v>
      </c>
      <c r="G37" s="6" t="s">
        <v>146</v>
      </c>
      <c r="H37" s="6" t="s">
        <v>161</v>
      </c>
    </row>
    <row r="38" spans="1:8" x14ac:dyDescent="0.3">
      <c r="A38" s="6">
        <v>13</v>
      </c>
      <c r="B38" s="6" t="s">
        <v>154</v>
      </c>
      <c r="C38" s="6">
        <v>2026</v>
      </c>
      <c r="D38" s="6" t="s">
        <v>151</v>
      </c>
      <c r="E38" s="8">
        <v>6410.91</v>
      </c>
      <c r="F38" s="26">
        <v>230</v>
      </c>
      <c r="G38" s="6" t="s">
        <v>156</v>
      </c>
      <c r="H38" s="6" t="s">
        <v>161</v>
      </c>
    </row>
    <row r="39" spans="1:8" x14ac:dyDescent="0.3">
      <c r="A39" s="6">
        <v>34</v>
      </c>
      <c r="B39" s="6" t="s">
        <v>154</v>
      </c>
      <c r="C39" s="6">
        <v>2023</v>
      </c>
      <c r="D39" s="6" t="s">
        <v>145</v>
      </c>
      <c r="E39" s="8">
        <v>9013.07</v>
      </c>
      <c r="F39" s="26">
        <v>444</v>
      </c>
      <c r="G39" s="6" t="s">
        <v>156</v>
      </c>
      <c r="H39" s="6" t="s">
        <v>161</v>
      </c>
    </row>
    <row r="40" spans="1:8" x14ac:dyDescent="0.3">
      <c r="A40" s="6">
        <v>36</v>
      </c>
      <c r="B40" s="6" t="s">
        <v>154</v>
      </c>
      <c r="C40" s="6">
        <v>2023</v>
      </c>
      <c r="D40" s="6" t="s">
        <v>143</v>
      </c>
      <c r="E40" s="8">
        <v>857.1</v>
      </c>
      <c r="F40" s="26">
        <v>620</v>
      </c>
      <c r="G40" s="6" t="s">
        <v>141</v>
      </c>
      <c r="H40" s="6" t="s">
        <v>161</v>
      </c>
    </row>
    <row r="41" spans="1:8" x14ac:dyDescent="0.3">
      <c r="A41" s="6">
        <v>5</v>
      </c>
      <c r="B41" s="6" t="s">
        <v>139</v>
      </c>
      <c r="C41" s="6">
        <v>2023</v>
      </c>
      <c r="D41" s="6" t="s">
        <v>143</v>
      </c>
      <c r="E41" s="8">
        <v>7657.72</v>
      </c>
      <c r="F41" s="26">
        <v>522</v>
      </c>
      <c r="G41" s="6" t="s">
        <v>146</v>
      </c>
      <c r="H41" s="6" t="s">
        <v>163</v>
      </c>
    </row>
    <row r="42" spans="1:8" x14ac:dyDescent="0.3">
      <c r="A42" s="6">
        <v>12</v>
      </c>
      <c r="B42" s="6" t="s">
        <v>139</v>
      </c>
      <c r="C42" s="6">
        <v>2024</v>
      </c>
      <c r="D42" s="6" t="s">
        <v>152</v>
      </c>
      <c r="E42" s="8">
        <v>4193.93</v>
      </c>
      <c r="F42" s="26">
        <v>129</v>
      </c>
      <c r="G42" s="6" t="s">
        <v>156</v>
      </c>
      <c r="H42" s="6" t="s">
        <v>163</v>
      </c>
    </row>
    <row r="43" spans="1:8" x14ac:dyDescent="0.3">
      <c r="A43" s="6">
        <v>7</v>
      </c>
      <c r="B43" s="6" t="s">
        <v>147</v>
      </c>
      <c r="C43" s="6">
        <v>2023</v>
      </c>
      <c r="D43" s="6" t="s">
        <v>145</v>
      </c>
      <c r="E43" s="8">
        <v>3914.22</v>
      </c>
      <c r="F43" s="26">
        <v>713</v>
      </c>
      <c r="G43" s="6" t="s">
        <v>149</v>
      </c>
      <c r="H43" s="6" t="s">
        <v>163</v>
      </c>
    </row>
    <row r="44" spans="1:8" x14ac:dyDescent="0.3">
      <c r="A44" s="6">
        <v>10</v>
      </c>
      <c r="B44" s="6" t="s">
        <v>147</v>
      </c>
      <c r="C44" s="6">
        <v>2026</v>
      </c>
      <c r="D44" s="6" t="s">
        <v>159</v>
      </c>
      <c r="E44" s="8">
        <v>7342.56</v>
      </c>
      <c r="F44" s="26">
        <v>854</v>
      </c>
      <c r="G44" s="6" t="s">
        <v>146</v>
      </c>
      <c r="H44" s="6" t="s">
        <v>163</v>
      </c>
    </row>
    <row r="45" spans="1:8" x14ac:dyDescent="0.3">
      <c r="A45" s="6">
        <v>38</v>
      </c>
      <c r="B45" s="6" t="s">
        <v>147</v>
      </c>
      <c r="C45" s="6">
        <v>2025</v>
      </c>
      <c r="D45" s="6" t="s">
        <v>160</v>
      </c>
      <c r="E45" s="8">
        <v>3161.19</v>
      </c>
      <c r="F45" s="26">
        <v>920</v>
      </c>
      <c r="G45" s="6" t="s">
        <v>141</v>
      </c>
      <c r="H45" s="6" t="s">
        <v>163</v>
      </c>
    </row>
    <row r="46" spans="1:8" x14ac:dyDescent="0.3">
      <c r="A46" s="6">
        <v>39</v>
      </c>
      <c r="B46" s="6" t="s">
        <v>147</v>
      </c>
      <c r="C46" s="6">
        <v>2023</v>
      </c>
      <c r="D46" s="6" t="s">
        <v>160</v>
      </c>
      <c r="E46" s="8">
        <v>3995.92</v>
      </c>
      <c r="F46" s="26">
        <v>456</v>
      </c>
      <c r="G46" s="6" t="s">
        <v>144</v>
      </c>
      <c r="H46" s="6" t="s">
        <v>163</v>
      </c>
    </row>
    <row r="47" spans="1:8" x14ac:dyDescent="0.3">
      <c r="A47" s="6">
        <v>1</v>
      </c>
      <c r="B47" s="6" t="s">
        <v>150</v>
      </c>
      <c r="C47" s="6">
        <v>2025</v>
      </c>
      <c r="D47" s="6" t="s">
        <v>160</v>
      </c>
      <c r="E47" s="8">
        <v>6516.67</v>
      </c>
      <c r="F47" s="26">
        <v>706</v>
      </c>
      <c r="G47" s="6" t="s">
        <v>141</v>
      </c>
      <c r="H47" s="6" t="s">
        <v>163</v>
      </c>
    </row>
    <row r="48" spans="1:8" x14ac:dyDescent="0.3">
      <c r="A48" s="6">
        <v>30</v>
      </c>
      <c r="B48" s="6" t="s">
        <v>150</v>
      </c>
      <c r="C48" s="6">
        <v>2025</v>
      </c>
      <c r="D48" s="6" t="s">
        <v>162</v>
      </c>
      <c r="E48" s="8">
        <v>5855.01</v>
      </c>
      <c r="F48" s="26">
        <v>584</v>
      </c>
      <c r="G48" s="6" t="s">
        <v>141</v>
      </c>
      <c r="H48" s="6" t="s">
        <v>163</v>
      </c>
    </row>
    <row r="49" spans="1:8" x14ac:dyDescent="0.3">
      <c r="A49" s="6">
        <v>44</v>
      </c>
      <c r="B49" s="6" t="s">
        <v>150</v>
      </c>
      <c r="C49" s="6">
        <v>2026</v>
      </c>
      <c r="D49" s="6" t="s">
        <v>159</v>
      </c>
      <c r="E49" s="8">
        <v>5253.16</v>
      </c>
      <c r="F49" s="26">
        <v>842</v>
      </c>
      <c r="G49" s="6" t="s">
        <v>146</v>
      </c>
      <c r="H49" s="6" t="s">
        <v>163</v>
      </c>
    </row>
    <row r="50" spans="1:8" x14ac:dyDescent="0.3">
      <c r="A50" s="6">
        <v>21</v>
      </c>
      <c r="B50" s="6" t="s">
        <v>154</v>
      </c>
      <c r="C50" s="6">
        <v>2025</v>
      </c>
      <c r="D50" s="6" t="s">
        <v>153</v>
      </c>
      <c r="E50" s="8">
        <v>2245.2800000000002</v>
      </c>
      <c r="F50" s="26">
        <v>262</v>
      </c>
      <c r="G50" s="6" t="s">
        <v>146</v>
      </c>
      <c r="H50" s="6" t="s">
        <v>163</v>
      </c>
    </row>
    <row r="51" spans="1:8" x14ac:dyDescent="0.3">
      <c r="A51" s="6">
        <v>32</v>
      </c>
      <c r="B51" s="6" t="s">
        <v>154</v>
      </c>
      <c r="C51" s="6">
        <v>2023</v>
      </c>
      <c r="D51" s="6" t="s">
        <v>162</v>
      </c>
      <c r="E51" s="8">
        <v>6523.37</v>
      </c>
      <c r="F51" s="26">
        <v>856</v>
      </c>
      <c r="G51" s="6" t="s">
        <v>156</v>
      </c>
      <c r="H51" s="6" t="s">
        <v>163</v>
      </c>
    </row>
    <row r="52" spans="1:8" x14ac:dyDescent="0.3">
      <c r="A52" s="6">
        <v>33</v>
      </c>
      <c r="B52" s="6" t="s">
        <v>154</v>
      </c>
      <c r="C52" s="6">
        <v>2023</v>
      </c>
      <c r="D52" s="6" t="s">
        <v>162</v>
      </c>
      <c r="E52" s="8">
        <v>6065.11</v>
      </c>
      <c r="F52" s="26">
        <v>563</v>
      </c>
      <c r="G52" s="6" t="s">
        <v>144</v>
      </c>
      <c r="H52" s="6" t="s">
        <v>163</v>
      </c>
    </row>
    <row r="53" spans="1:8" x14ac:dyDescent="0.3">
      <c r="A53" s="6">
        <v>48</v>
      </c>
      <c r="B53" s="6" t="s">
        <v>154</v>
      </c>
      <c r="C53" s="6">
        <v>2023</v>
      </c>
      <c r="D53" s="6" t="s">
        <v>159</v>
      </c>
      <c r="E53" s="8">
        <v>1698.37</v>
      </c>
      <c r="F53" s="26">
        <v>903</v>
      </c>
      <c r="G53" s="6" t="s">
        <v>146</v>
      </c>
      <c r="H53" s="6" t="s">
        <v>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37"/>
  <sheetViews>
    <sheetView showGridLines="0" workbookViewId="0"/>
  </sheetViews>
  <sheetFormatPr baseColWidth="10" defaultColWidth="9.109375" defaultRowHeight="14.4" x14ac:dyDescent="0.3"/>
  <cols>
    <col min="1" max="1" width="12.21875" customWidth="1"/>
    <col min="2" max="2" width="14" customWidth="1"/>
    <col min="3" max="3" width="12" customWidth="1"/>
    <col min="4" max="7" width="10" customWidth="1"/>
    <col min="8" max="8" width="55" customWidth="1"/>
  </cols>
  <sheetData>
    <row r="2" spans="1:8" ht="23.4" x14ac:dyDescent="0.45">
      <c r="B2" s="1" t="s">
        <v>164</v>
      </c>
    </row>
    <row r="3" spans="1:8" ht="86.4" x14ac:dyDescent="0.3">
      <c r="B3" s="2" t="s">
        <v>165</v>
      </c>
    </row>
    <row r="5" spans="1:8" ht="62.4" x14ac:dyDescent="0.3">
      <c r="B5" s="3" t="s">
        <v>166</v>
      </c>
    </row>
    <row r="7" spans="1:8" ht="140.1" customHeight="1" x14ac:dyDescent="0.3">
      <c r="A7" s="5" t="s">
        <v>167</v>
      </c>
      <c r="B7" s="5" t="s">
        <v>168</v>
      </c>
      <c r="C7" s="5" t="s">
        <v>169</v>
      </c>
      <c r="D7" s="5" t="s">
        <v>170</v>
      </c>
      <c r="E7" s="5" t="s">
        <v>171</v>
      </c>
      <c r="H7" s="4" t="s">
        <v>172</v>
      </c>
    </row>
    <row r="8" spans="1:8" x14ac:dyDescent="0.3">
      <c r="A8" s="27">
        <v>0.57099999999999995</v>
      </c>
      <c r="B8" s="6">
        <v>7</v>
      </c>
      <c r="C8" s="6" t="s">
        <v>173</v>
      </c>
      <c r="D8" s="6">
        <v>39</v>
      </c>
      <c r="E8" s="6" t="s">
        <v>174</v>
      </c>
    </row>
    <row r="9" spans="1:8" x14ac:dyDescent="0.3">
      <c r="A9" s="27">
        <v>3.8319999999999999</v>
      </c>
      <c r="B9" s="6">
        <v>9</v>
      </c>
      <c r="C9" s="6" t="s">
        <v>173</v>
      </c>
      <c r="D9" s="6">
        <v>43</v>
      </c>
      <c r="E9" s="6" t="s">
        <v>174</v>
      </c>
    </row>
    <row r="10" spans="1:8" x14ac:dyDescent="0.3">
      <c r="A10" s="27">
        <v>5.532</v>
      </c>
      <c r="B10" s="6">
        <v>2</v>
      </c>
      <c r="C10" s="6" t="s">
        <v>173</v>
      </c>
      <c r="D10" s="6">
        <v>48</v>
      </c>
      <c r="E10" s="6" t="s">
        <v>174</v>
      </c>
    </row>
    <row r="11" spans="1:8" x14ac:dyDescent="0.3">
      <c r="A11" s="27">
        <v>0.64300000000000002</v>
      </c>
      <c r="B11" s="6">
        <v>1</v>
      </c>
      <c r="C11" s="6" t="s">
        <v>175</v>
      </c>
      <c r="D11" s="6">
        <v>40</v>
      </c>
      <c r="E11" s="6" t="s">
        <v>174</v>
      </c>
    </row>
    <row r="12" spans="1:8" x14ac:dyDescent="0.3">
      <c r="A12" s="27">
        <v>1.68</v>
      </c>
      <c r="B12" s="6">
        <v>1</v>
      </c>
      <c r="C12" s="6" t="s">
        <v>175</v>
      </c>
      <c r="D12" s="6">
        <v>21</v>
      </c>
      <c r="E12" s="6" t="s">
        <v>174</v>
      </c>
    </row>
    <row r="13" spans="1:8" x14ac:dyDescent="0.3">
      <c r="A13" s="27">
        <v>7.4240000000000004</v>
      </c>
      <c r="B13" s="6">
        <v>10</v>
      </c>
      <c r="C13" s="6" t="s">
        <v>173</v>
      </c>
      <c r="D13" s="6">
        <v>34</v>
      </c>
      <c r="E13" s="6" t="s">
        <v>174</v>
      </c>
    </row>
    <row r="14" spans="1:8" x14ac:dyDescent="0.3">
      <c r="A14" s="27">
        <v>7.41</v>
      </c>
      <c r="B14" s="6">
        <v>4</v>
      </c>
      <c r="C14" s="6" t="s">
        <v>173</v>
      </c>
      <c r="D14" s="6">
        <v>35</v>
      </c>
      <c r="E14" s="6" t="s">
        <v>174</v>
      </c>
    </row>
    <row r="15" spans="1:8" x14ac:dyDescent="0.3">
      <c r="A15" s="27">
        <v>2.3069999999999999</v>
      </c>
      <c r="B15" s="6">
        <v>4</v>
      </c>
      <c r="C15" s="6" t="s">
        <v>173</v>
      </c>
      <c r="D15" s="6">
        <v>31</v>
      </c>
      <c r="E15" s="6" t="s">
        <v>174</v>
      </c>
    </row>
    <row r="16" spans="1:8" x14ac:dyDescent="0.3">
      <c r="A16" s="27">
        <v>4.577</v>
      </c>
      <c r="B16" s="6">
        <v>4</v>
      </c>
      <c r="C16" s="6" t="s">
        <v>173</v>
      </c>
      <c r="D16" s="6">
        <v>29</v>
      </c>
      <c r="E16" s="6" t="s">
        <v>174</v>
      </c>
    </row>
    <row r="17" spans="1:5" x14ac:dyDescent="0.3">
      <c r="A17" s="27">
        <v>5.2270000000000003</v>
      </c>
      <c r="B17" s="6">
        <v>9</v>
      </c>
      <c r="C17" s="6" t="s">
        <v>175</v>
      </c>
      <c r="D17" s="6">
        <v>34</v>
      </c>
      <c r="E17" s="6" t="s">
        <v>174</v>
      </c>
    </row>
    <row r="18" spans="1:5" x14ac:dyDescent="0.3">
      <c r="A18" s="27">
        <v>6.7450000000000001</v>
      </c>
      <c r="B18" s="6">
        <v>2</v>
      </c>
      <c r="C18" s="6" t="s">
        <v>175</v>
      </c>
      <c r="D18" s="6">
        <v>50</v>
      </c>
      <c r="E18" s="6" t="s">
        <v>176</v>
      </c>
    </row>
    <row r="19" spans="1:5" x14ac:dyDescent="0.3">
      <c r="A19" s="27">
        <v>6.8959999999999999</v>
      </c>
      <c r="B19" s="6">
        <v>2</v>
      </c>
      <c r="C19" s="6" t="s">
        <v>173</v>
      </c>
      <c r="D19" s="6">
        <v>29</v>
      </c>
      <c r="E19" s="6" t="s">
        <v>176</v>
      </c>
    </row>
    <row r="20" spans="1:5" x14ac:dyDescent="0.3">
      <c r="A20" s="27">
        <v>4.1059999999999999</v>
      </c>
      <c r="B20" s="6">
        <v>6</v>
      </c>
      <c r="C20" s="6" t="s">
        <v>173</v>
      </c>
      <c r="D20" s="6">
        <v>22</v>
      </c>
      <c r="E20" s="6" t="s">
        <v>176</v>
      </c>
    </row>
    <row r="21" spans="1:5" x14ac:dyDescent="0.3">
      <c r="A21" s="27">
        <v>0.54500000000000004</v>
      </c>
      <c r="B21" s="6">
        <v>1</v>
      </c>
      <c r="C21" s="6" t="s">
        <v>173</v>
      </c>
      <c r="D21" s="6">
        <v>36</v>
      </c>
      <c r="E21" s="6" t="s">
        <v>176</v>
      </c>
    </row>
    <row r="22" spans="1:5" x14ac:dyDescent="0.3">
      <c r="A22" s="27">
        <v>2.6629999999999998</v>
      </c>
      <c r="B22" s="6">
        <v>1</v>
      </c>
      <c r="C22" s="6" t="s">
        <v>173</v>
      </c>
      <c r="D22" s="6">
        <v>47</v>
      </c>
      <c r="E22" s="6" t="s">
        <v>176</v>
      </c>
    </row>
    <row r="23" spans="1:5" x14ac:dyDescent="0.3">
      <c r="A23" s="27">
        <v>3.2490000000000001</v>
      </c>
      <c r="B23" s="6">
        <v>4</v>
      </c>
      <c r="C23" s="6" t="s">
        <v>173</v>
      </c>
      <c r="D23" s="6">
        <v>50</v>
      </c>
      <c r="E23" s="6" t="s">
        <v>176</v>
      </c>
    </row>
    <row r="24" spans="1:5" x14ac:dyDescent="0.3">
      <c r="A24" s="27">
        <v>0.56299999999999994</v>
      </c>
      <c r="B24" s="6">
        <v>3</v>
      </c>
      <c r="C24" s="6" t="s">
        <v>175</v>
      </c>
      <c r="D24" s="6">
        <v>26</v>
      </c>
      <c r="E24" s="6" t="s">
        <v>176</v>
      </c>
    </row>
    <row r="25" spans="1:5" x14ac:dyDescent="0.3">
      <c r="A25" s="27">
        <v>7.2969999999999997</v>
      </c>
      <c r="B25" s="6">
        <v>2</v>
      </c>
      <c r="C25" s="6" t="s">
        <v>175</v>
      </c>
      <c r="D25" s="6">
        <v>35</v>
      </c>
      <c r="E25" s="6" t="s">
        <v>176</v>
      </c>
    </row>
    <row r="26" spans="1:5" x14ac:dyDescent="0.3">
      <c r="A26" s="27">
        <v>1.387</v>
      </c>
      <c r="B26" s="6">
        <v>6</v>
      </c>
      <c r="C26" s="6" t="s">
        <v>173</v>
      </c>
      <c r="D26" s="6">
        <v>46</v>
      </c>
      <c r="E26" s="6" t="s">
        <v>176</v>
      </c>
    </row>
    <row r="27" spans="1:5" x14ac:dyDescent="0.3">
      <c r="A27" s="27">
        <v>5.8239999999999998</v>
      </c>
      <c r="B27" s="6">
        <v>1</v>
      </c>
      <c r="C27" s="6" t="s">
        <v>173</v>
      </c>
      <c r="D27" s="6">
        <v>48</v>
      </c>
      <c r="E27" s="6" t="s">
        <v>176</v>
      </c>
    </row>
    <row r="28" spans="1:5" x14ac:dyDescent="0.3">
      <c r="A28" s="27">
        <v>9.4849999999999994</v>
      </c>
      <c r="B28" s="6">
        <v>7</v>
      </c>
      <c r="C28" s="6" t="s">
        <v>175</v>
      </c>
      <c r="D28" s="6">
        <v>21</v>
      </c>
      <c r="E28" s="6" t="s">
        <v>177</v>
      </c>
    </row>
    <row r="29" spans="1:5" x14ac:dyDescent="0.3">
      <c r="A29" s="27">
        <v>5.101</v>
      </c>
      <c r="B29" s="6">
        <v>2</v>
      </c>
      <c r="C29" s="6" t="s">
        <v>173</v>
      </c>
      <c r="D29" s="6">
        <v>44</v>
      </c>
      <c r="E29" s="6" t="s">
        <v>177</v>
      </c>
    </row>
    <row r="30" spans="1:5" x14ac:dyDescent="0.3">
      <c r="A30" s="27">
        <v>5.9210000000000003</v>
      </c>
      <c r="B30" s="6">
        <v>8</v>
      </c>
      <c r="C30" s="6" t="s">
        <v>175</v>
      </c>
      <c r="D30" s="6">
        <v>20</v>
      </c>
      <c r="E30" s="6" t="s">
        <v>177</v>
      </c>
    </row>
    <row r="31" spans="1:5" x14ac:dyDescent="0.3">
      <c r="A31" s="27">
        <v>8.2899999999999991</v>
      </c>
      <c r="B31" s="6">
        <v>8</v>
      </c>
      <c r="C31" s="6" t="s">
        <v>173</v>
      </c>
      <c r="D31" s="6">
        <v>38</v>
      </c>
      <c r="E31" s="6" t="s">
        <v>177</v>
      </c>
    </row>
    <row r="32" spans="1:5" x14ac:dyDescent="0.3">
      <c r="A32" s="27">
        <v>6.8959999999999999</v>
      </c>
      <c r="B32" s="6">
        <v>3</v>
      </c>
      <c r="C32" s="6" t="s">
        <v>173</v>
      </c>
      <c r="D32" s="6">
        <v>39</v>
      </c>
      <c r="E32" s="6" t="s">
        <v>177</v>
      </c>
    </row>
    <row r="33" spans="1:5" x14ac:dyDescent="0.3">
      <c r="A33" s="27">
        <v>8.1340000000000003</v>
      </c>
      <c r="B33" s="6">
        <v>2</v>
      </c>
      <c r="C33" s="6" t="s">
        <v>173</v>
      </c>
      <c r="D33" s="6">
        <v>26</v>
      </c>
      <c r="E33" s="6" t="s">
        <v>177</v>
      </c>
    </row>
    <row r="34" spans="1:5" x14ac:dyDescent="0.3">
      <c r="A34" s="27">
        <v>4.9219999999999997</v>
      </c>
      <c r="B34" s="6">
        <v>3</v>
      </c>
      <c r="C34" s="6" t="s">
        <v>175</v>
      </c>
      <c r="D34" s="6">
        <v>41</v>
      </c>
      <c r="E34" s="6" t="s">
        <v>177</v>
      </c>
    </row>
    <row r="35" spans="1:5" x14ac:dyDescent="0.3">
      <c r="A35" s="27">
        <v>8.2479999999999993</v>
      </c>
      <c r="B35" s="6">
        <v>9</v>
      </c>
      <c r="C35" s="6" t="s">
        <v>175</v>
      </c>
      <c r="D35" s="6">
        <v>23</v>
      </c>
      <c r="E35" s="6" t="s">
        <v>177</v>
      </c>
    </row>
    <row r="36" spans="1:5" x14ac:dyDescent="0.3">
      <c r="A36" s="27">
        <v>3.81</v>
      </c>
      <c r="B36" s="6">
        <v>2</v>
      </c>
      <c r="C36" s="6" t="s">
        <v>173</v>
      </c>
      <c r="D36" s="6">
        <v>46</v>
      </c>
      <c r="E36" s="6" t="s">
        <v>177</v>
      </c>
    </row>
    <row r="37" spans="1:5" x14ac:dyDescent="0.3">
      <c r="A37" s="27">
        <v>5.7549999999999999</v>
      </c>
      <c r="B37" s="6">
        <v>10</v>
      </c>
      <c r="C37" s="6" t="s">
        <v>173</v>
      </c>
      <c r="D37" s="6">
        <v>49</v>
      </c>
      <c r="E37" s="6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DATOS_PEDIDOS</vt:lpstr>
      <vt:lpstr>E1_BDSUMA_BDCONTAR</vt:lpstr>
      <vt:lpstr>E2_BDPROMEDIO_MAX_MIN</vt:lpstr>
      <vt:lpstr>E3_BDEXTRAER</vt:lpstr>
      <vt:lpstr>E4_Criterios_Multiples</vt:lpstr>
      <vt:lpstr>E5_Nombres_Rango</vt:lpstr>
      <vt:lpstr>E6_Esquema_Pedidos</vt:lpstr>
      <vt:lpstr>E7_Esquema_Ventas</vt:lpstr>
      <vt:lpstr>E8_Esquema_Manual</vt:lpstr>
      <vt:lpstr>BDPEDIDOS</vt:lpstr>
      <vt:lpstr>Importes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lopez</cp:lastModifiedBy>
  <dcterms:created xsi:type="dcterms:W3CDTF">2026-10-24T10:50:06Z</dcterms:created>
  <dcterms:modified xsi:type="dcterms:W3CDTF">2026-10-24T14:57:01Z</dcterms:modified>
</cp:coreProperties>
</file>