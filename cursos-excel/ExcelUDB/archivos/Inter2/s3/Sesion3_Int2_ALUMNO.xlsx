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G:\Mi unidad\Excel\EXCEL INTERMEDIO 2\SESION NO. 3\"/>
    </mc:Choice>
  </mc:AlternateContent>
  <xr:revisionPtr revIDLastSave="0" documentId="13_ncr:1_{F271DB79-1622-45E9-AD27-E69A7517950D}" xr6:coauthVersionLast="47" xr6:coauthVersionMax="47" xr10:uidLastSave="{00000000-0000-0000-0000-000000000000}"/>
  <bookViews>
    <workbookView xWindow="-108" yWindow="-108" windowWidth="23256" windowHeight="12456" firstSheet="8" activeTab="8" xr2:uid="{00000000-000D-0000-FFFF-FFFF00000000}"/>
  </bookViews>
  <sheets>
    <sheet name="INSTRUCCIONES" sheetId="1" r:id="rId1"/>
    <sheet name="E1_Lista_Rango" sheetId="2" r:id="rId2"/>
    <sheet name="E2_Lista_Texto" sheetId="3" r:id="rId3"/>
    <sheet name="E3_Numeros_Fechas" sheetId="4" r:id="rId4"/>
    <sheet name="E4_Mensajes" sheetId="5" r:id="rId5"/>
    <sheet name="E5_Validacion_Formulas" sheetId="6" r:id="rId6"/>
    <sheet name="E6_Rodear" sheetId="7" r:id="rId7"/>
    <sheet name="E7_Texto_Columnas" sheetId="8" r:id="rId8"/>
    <sheet name="E8_Relleno_Rapido" sheetId="9" r:id="rId9"/>
    <sheet name="E9_Quitar_Duplicados" sheetId="10" r:id="rId10"/>
    <sheet name="Sucursal_Norte" sheetId="11" r:id="rId11"/>
    <sheet name="Sucursal_Sur" sheetId="12" r:id="rId12"/>
    <sheet name="Sucursal_Centro" sheetId="13" r:id="rId13"/>
    <sheet name="E10_Consolidado" sheetId="14" r:id="rId14"/>
    <sheet name="Sucursal_A" sheetId="15" r:id="rId15"/>
    <sheet name="Sucursal_B" sheetId="16" r:id="rId16"/>
    <sheet name="E11_Consolidado_Categoria" sheetId="17" r:id="rId17"/>
    <sheet name="E12_Inmovilizar" sheetId="18" r:id="rId18"/>
    <sheet name="E13_Dividir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4" l="1"/>
</calcChain>
</file>

<file path=xl/sharedStrings.xml><?xml version="1.0" encoding="utf-8"?>
<sst xmlns="http://schemas.openxmlformats.org/spreadsheetml/2006/main" count="1011" uniqueCount="236">
  <si>
    <t>SESIÓN 3 — EXCEL INTERMEDIO NIVEL 2</t>
  </si>
  <si>
    <t>Validación de datos, Herramientas de datos (Texto en columnas, Relleno rápido, Quitar duplicados, Consolidar) e Inmovilización de paneles — Ing. Joyce Posada · UDB/CTIC — 31/10/2026</t>
  </si>
  <si>
    <t>LIBRO ALUMNO (desarrollar en clase)</t>
  </si>
  <si>
    <t>BLOQUE 1 — Validación de datos</t>
  </si>
  <si>
    <t>▸ Ejercicio 1 — Lista desplegable desde rango</t>
  </si>
  <si>
    <t>Hoja E1_Lista_Rango. En la columna «Prioridad» (celdas D5:D20) tenés que aplicar una lista desplegable que tome los valores del rango G5:G7 (Alta, Media, Baja). Pasos: seleccioná D5:D20 → Datos → Validación de datos → Permitir: Lista → Origen: =$G$5:$G$7 → Aceptar.</t>
  </si>
  <si>
    <t>▸ Ejercicio 2 — Lista desplegable con texto directo</t>
  </si>
  <si>
    <t>Hoja E2_Lista_Texto. En la columna «Estado» (E5:E25) aplicá una lista con el texto escrito directamente: Pendiente;En proceso;Terminado;Cancelado (usá punto y coma como separador en Excel en español).</t>
  </si>
  <si>
    <t>▸ Ejercicio 3 — Validación numérica y de fecha</t>
  </si>
  <si>
    <t>Hoja E3_Numeros_Fechas. (a) En la columna «Edad» (C5:C25) permití solo números enteros entre 18 y 65. (b) En «Fecha de ingreso» (D5:D25) permití solo fechas entre 01/01/2024 y hoy. (c) En «Nombre completo» (B5:B25) permití longitud de texto entre 5 y 50 caracteres. Para cada validación: Datos → Validación de datos → Permitir (Número entero / Fecha / Longitud del texto) → poner mínimo y máximo.</t>
  </si>
  <si>
    <t>▸ Ejercicio 4 — Mensaje de entrada y de error</t>
  </si>
  <si>
    <t>Hoja E4_Mensajes. Usá la validación de la columna «Edad» del Ejercicio 3 y agregale: (a) Mensaje de entrada: Título «Edad» · Mensaje: «Ingrese un número entre 18 y 65». (b) Mensaje de error: Estilo «Detener» · Título «Edad inválida» · Mensaje: «Debe estar entre 18 y 65 años». Pestaña Mensaje de entrada / Mensaje de error del mismo cuadro de Validación.</t>
  </si>
  <si>
    <t>▸ Ejercicio 5 — Validación personalizada con fórmulas</t>
  </si>
  <si>
    <t>Hoja E5_Validacion_Formulas. Aplicá las 3 validaciones personalizadas: (a) En la columna «Código empleado» (B5:B25) no permitir duplicados: Permitir «Personalizada» → Fórmula: =CONTAR.SI($B$5:$B$25;B5)=1. (b) En la columna «Nombre MAYÚSCULAS» (C5:C25) solo mayúsculas: Fórmula: =IGUAL(C5;MAYUSC(C5)). (c) En la columna «Fecha hábil» (D5:D25) bloquear sábado y domingo: Fórmula: =DIASEM(D5;2)&lt;6. Después probá introducir datos inválidos y mirá cómo Excel los rechaza.</t>
  </si>
  <si>
    <t>▸ Ejercicio 6 — Rodear datos no válidos</t>
  </si>
  <si>
    <t>Hoja E6_Rodear. Esta hoja YA tiene datos cargados y validación aplicada en algunas columnas. Vas a usar: Datos → Validación de datos → Rodear datos no válidos. Excel marca con un círculo rojo cada celda cuyo valor no cumple la regla. Para quitar los círculos: Datos → Validación de datos → Borrar círculos de validación.</t>
  </si>
  <si>
    <t>BLOQUE 2 — Herramientas de datos</t>
  </si>
  <si>
    <t>▸ Ejercicio 7 — Texto en columnas (delimitado)</t>
  </si>
  <si>
    <t>Hoja E7_Texto_Columnas. La columna B tiene datos combinados «Nombre,Apellido,Edad,Ciudad» en una sola celda. Pasos: seleccioná B5:B25 → Datos → Texto en columnas → Delimitados → Siguiente → tildá Coma → Siguiente → Finalizar. Vas a tener los 4 datos separados en columnas B, C, D y E.</t>
  </si>
  <si>
    <t>▸ Ejercicio 8 — Relleno rápido (Ctrl+E)</t>
  </si>
  <si>
    <t>Hoja E8_Relleno_Rapido. En la columna A tenés nombres completos. (a) En B5 escribí solo el primer nombre del A5. En B6 presioná Ctrl+E — Excel completa toda la columna. (b) En C5 escribí solo el apellido del A5 y Ctrl+E. (c) En D5 escribí un correo con el formato primera.letra.nombre+apellido@empresa.sv (ej: para «Juan Pérez» → j.perez@empresa.sv) y Ctrl+E. (d) En E5 formato de teléfono: tomá el número de la columna F y escribilo con guiones (2222-3333) y Ctrl+E.</t>
  </si>
  <si>
    <t>▸ Ejercicio 9 — Quitar duplicados</t>
  </si>
  <si>
    <t>Hoja E9_Quitar_Duplicados. La lista tiene registros repetidos. Pasos: seleccioná A5:D30 → Datos → Quitar duplicados → en el cuadro, dejar tildadas las columnas por las que querés evaluar duplicados (por defecto todas) → Aceptar. Excel te dice cuántos quitó y cuántos quedaron.</t>
  </si>
  <si>
    <t>▸ Ejercicio 10 — Consolidar por posición (3 sucursales)</t>
  </si>
  <si>
    <t>Hojas Sucursal_Norte, Sucursal_Sur, Sucursal_Centro (3 hojas con los MISMOS encabezados y filas) y E10_Consolidado. Posicionate en la hoja E10_Consolidado, celda B5. Pasos: Datos → Consolidar → Función: Suma → en Referencia poné =Sucursal_Norte!$B$5:$C$12 → Agregar → repetí para Sucursal_Sur y Sucursal_Centro → TILDÁ «Fila superior» y «Columna izquierda» → opcionalmente tildá «Crear vínculos con los datos de origen» → Aceptar. El consolidado suma los importes de las 3 sucursales.</t>
  </si>
  <si>
    <t>▸ Ejercicio 11 — Consolidar por categoría (diferente orden de productos)</t>
  </si>
  <si>
    <t>Hojas Sucursal_A, Sucursal_B y E11_Consolidado_Categoria. Las dos sucursales tienen productos distintos y en diferente orden. Consolidación por categoría: Datos → Consolidar → Suma → Agregar las dos referencias → TILDAR «Fila superior» Y «Columna izquierda» (sin eso no funciona). Excel une las categorías automáticamente, aunque estén en orden diferente.</t>
  </si>
  <si>
    <t>BLOQUE 3 — Inmovilización de paneles y vistas</t>
  </si>
  <si>
    <t>▸ Ejercicio 12 — Inmovilizar paneles</t>
  </si>
  <si>
    <t>Hoja E12_Inmovilizar. Es una tabla larga con 150 filas y 10 columnas. (a) Vista → Inmovilizar → Inmovilizar fila superior → bajá con la rueda y mirá cómo la fila 1 queda fija. (b) Vista → Inmovilizar → Movilizar paneles para quitar. (c) Vista → Inmovilizar → Inmovilizar primera columna → desplazate a la derecha. (d) Movilizar y ahora: posicionate en B2 → Vista → Inmovilizar → Inmovilizar paneles → quedan fijas la fila 1 y la columna A juntas.</t>
  </si>
  <si>
    <t>▸ Ejercicio 13 — Dividir ventana, Vista en paralelo y Nueva ventana</t>
  </si>
  <si>
    <t>Hoja E13_Dividir. (a) Posicionate en D15 → Vista → Dividir → la hoja se parte en 4 cuadrantes independientes. Volver a hacer clic en Dividir lo desactiva. (b) Vista → Nueva ventana → se abre una segunda vista del MISMO libro. (c) Con dos ventanas abiertas: Vista → Ver en paralelo → podés hacer scroll sincronizado con «Desplazamiento sincrónico».</t>
  </si>
  <si>
    <t>CIERRE</t>
  </si>
  <si>
    <t>▸ Entrega</t>
  </si>
  <si>
    <t>Guardá el archivo como «Sesion3_Int2_[TU_NOMBRE].xlsx» y subilo al Aula Digital antes del cierre de la sesión. Importante: la validación de datos y la inmovilización se guardan en el libro, no las quites antes de guardar.</t>
  </si>
  <si>
    <t>Ejercicio 1 — Lista desplegable desde rango</t>
  </si>
  <si>
    <t>Aplicá en la columna Prioridad (D5:D20) una validación tipo Lista cuyo Origen sea =$G$5:$G$7</t>
  </si>
  <si>
    <t>#</t>
  </si>
  <si>
    <t>Tarea</t>
  </si>
  <si>
    <t>Prioridad</t>
  </si>
  <si>
    <t>Responsable</t>
  </si>
  <si>
    <t>Valores →</t>
  </si>
  <si>
    <t>Enviar cotización</t>
  </si>
  <si>
    <t>Martínez</t>
  </si>
  <si>
    <t>Alta</t>
  </si>
  <si>
    <t>Esta tabla de valores alimenta la lista desplegable</t>
  </si>
  <si>
    <t>Revisar inventario</t>
  </si>
  <si>
    <t>Flores</t>
  </si>
  <si>
    <t>Media</t>
  </si>
  <si>
    <t>Capacitar personal</t>
  </si>
  <si>
    <t>González</t>
  </si>
  <si>
    <t>Baja</t>
  </si>
  <si>
    <t>Actualizar sitio web</t>
  </si>
  <si>
    <t>Preparar reporte mensual</t>
  </si>
  <si>
    <t>Reunión con cliente</t>
  </si>
  <si>
    <t>Pérez</t>
  </si>
  <si>
    <t>Pago a proveedores</t>
  </si>
  <si>
    <t>Ramírez</t>
  </si>
  <si>
    <t>Mantenimiento equipos</t>
  </si>
  <si>
    <t>Promoción en redes</t>
  </si>
  <si>
    <t>Facturar servicios</t>
  </si>
  <si>
    <t>Negociar contrato</t>
  </si>
  <si>
    <t>Revisar presupuesto</t>
  </si>
  <si>
    <t>Ejercicio 2 — Lista desplegable con texto directo</t>
  </si>
  <si>
    <t>Origen escrito a mano, separado por punto y coma: Pendiente;En proceso;Terminado;Cancelado</t>
  </si>
  <si>
    <t>Pedido</t>
  </si>
  <si>
    <t>Monto</t>
  </si>
  <si>
    <t>Estado</t>
  </si>
  <si>
    <t>Pedido-10005</t>
  </si>
  <si>
    <t>Al abrir la lista en una celda de la columna Estado deberían aparecer las 4 opciones</t>
  </si>
  <si>
    <t>Pedido-10006</t>
  </si>
  <si>
    <t>Pedido-10007</t>
  </si>
  <si>
    <t>Pedido-10008</t>
  </si>
  <si>
    <t>Pedido-10009</t>
  </si>
  <si>
    <t>Pedido-10010</t>
  </si>
  <si>
    <t>Pedido-10011</t>
  </si>
  <si>
    <t>Pedido-10012</t>
  </si>
  <si>
    <t>Pedido-10013</t>
  </si>
  <si>
    <t>Pedido-10014</t>
  </si>
  <si>
    <t>Pedido-10015</t>
  </si>
  <si>
    <t>Pedido-10016</t>
  </si>
  <si>
    <t>Pedido-10017</t>
  </si>
  <si>
    <t>Pedido-10018</t>
  </si>
  <si>
    <t>Pedido-10019</t>
  </si>
  <si>
    <t>Pedido-10020</t>
  </si>
  <si>
    <t>Pedido-10021</t>
  </si>
  <si>
    <t>Pedido-10022</t>
  </si>
  <si>
    <t>Pedido-10023</t>
  </si>
  <si>
    <t>Pedido-10024</t>
  </si>
  <si>
    <t>Pedido-10025</t>
  </si>
  <si>
    <t>Ejercicio 3 — Validación numérica, de fecha y de longitud</t>
  </si>
  <si>
    <t>(a) Edad: entero 18-65  ·  (b) Fecha: entre 01/01/2024 y hoy  ·  (c) Nombre: longitud 5-50</t>
  </si>
  <si>
    <t>Nombre completo</t>
  </si>
  <si>
    <t>Edad</t>
  </si>
  <si>
    <t>Fecha ingreso</t>
  </si>
  <si>
    <t>Después de aplicar las 3 validaciones, probá a propósito poner una edad 15 o una fecha 2020 y mirá el error.</t>
  </si>
  <si>
    <t>Ejercicio 4 — Mensaje de entrada y mensaje de error</t>
  </si>
  <si>
    <t>Aplicá los mensajes al cuadro de Validación de la columna Edad (ver Ej. 3)</t>
  </si>
  <si>
    <t>Nombre</t>
  </si>
  <si>
    <t>Ana María López</t>
  </si>
  <si>
    <t>Al hacer clic en una celda de Edad aparece el mensaje de entrada. Si escribís 10 → aparece el error con el ícono rojo.</t>
  </si>
  <si>
    <t>Carlos Pérez</t>
  </si>
  <si>
    <t>Beatriz Alfaro</t>
  </si>
  <si>
    <t>Rodrigo Henríquez</t>
  </si>
  <si>
    <t>Patricia Mendoza</t>
  </si>
  <si>
    <t>Fernando Castro</t>
  </si>
  <si>
    <t>Sofía Rivas</t>
  </si>
  <si>
    <t>Oscar Molina</t>
  </si>
  <si>
    <t>Lucía Guzmán</t>
  </si>
  <si>
    <t>Mario Rodríguez</t>
  </si>
  <si>
    <t>Ejercicio 5 — Validación personalizada con fórmulas</t>
  </si>
  <si>
    <t>3 reglas: sin duplicados en Código, solo MAYÚSCULAS en Nombre, sin sábado/domingo en Fecha</t>
  </si>
  <si>
    <t>Código empleado</t>
  </si>
  <si>
    <t>Nombre MAYÚSCULAS</t>
  </si>
  <si>
    <t>Fecha hábil</t>
  </si>
  <si>
    <t>Ejemplos de errores: en B poné dos códigos iguales. En C poné «juan perez» (sin mayúsculas). En D poné una fecha sábado.</t>
  </si>
  <si>
    <t>Fórmulas usadas (en la Fórmula del cuadro Validación personalizada):</t>
  </si>
  <si>
    <t>B: =CONTAR.SI($B$5:$B$25;B5)=1</t>
  </si>
  <si>
    <t>C: =IGUAL(C5;MAYUSC(C5))</t>
  </si>
  <si>
    <t>D: =DIASEM(D5;2)&lt;6</t>
  </si>
  <si>
    <t>Ejercicio 6 — Rodear datos no válidos</t>
  </si>
  <si>
    <t>Esta hoja ya tiene datos. Varios valores en Edad son inválidos. Usá Datos → Validación → Rodear datos no válidos</t>
  </si>
  <si>
    <t>Ana López</t>
  </si>
  <si>
    <t>Clic en: Datos → Validación de datos (menú desplegable) → Rodear datos no válidos. Las edades 15, 70, 17 y 80 van a quedar marcadas con círculos rojos.</t>
  </si>
  <si>
    <t>Para quitar los círculos: Datos → Validación de datos → Borrar círculos de validación.</t>
  </si>
  <si>
    <t>Elena Vásquez</t>
  </si>
  <si>
    <t>Hugo Portillo</t>
  </si>
  <si>
    <t>Ejercicio 7 — Texto en columnas (delimitado)</t>
  </si>
  <si>
    <t>Separá los datos combinados usando la coma como delimitador</t>
  </si>
  <si>
    <t>Datos combinados</t>
  </si>
  <si>
    <t>Apellido</t>
  </si>
  <si>
    <t>Ciudad</t>
  </si>
  <si>
    <t>Juan,Pérez,25,San Salvador</t>
  </si>
  <si>
    <t>Pasos: B5:B25 → Datos → Texto en columnas → Delimitados → Siguiente → tildar Coma → Siguiente → Finalizar.</t>
  </si>
  <si>
    <t>Ana,López,33,Santa Ana</t>
  </si>
  <si>
    <t>Carlos,Flores,41,San Miguel</t>
  </si>
  <si>
    <t>María,Reyes,28,Sonsonate</t>
  </si>
  <si>
    <t>Luis,Martínez,37,La Libertad</t>
  </si>
  <si>
    <t>Elena,Ramírez,22,Ahuachapán</t>
  </si>
  <si>
    <t>Oscar,Hernández,50,San Vicente</t>
  </si>
  <si>
    <t>Rosa,Mejía,29,Usulután</t>
  </si>
  <si>
    <t>Pedro,Ortiz,45,Cuscatlán</t>
  </si>
  <si>
    <t>Lucía,Díaz,31,Chalatenango</t>
  </si>
  <si>
    <t>Rubén,García,38,La Paz</t>
  </si>
  <si>
    <t>Carmen,Rivas,26,Morazán</t>
  </si>
  <si>
    <t>Jorge,Castro,44,Cabañas</t>
  </si>
  <si>
    <t>Diana,Sosa,35,La Unión</t>
  </si>
  <si>
    <t>Mario,Vega,48,San Salvador</t>
  </si>
  <si>
    <t>Sandra,Alfaro,27,Santa Ana</t>
  </si>
  <si>
    <t>Víctor,Portillo,52,San Miguel</t>
  </si>
  <si>
    <t>Nancy,Molina,30,Sonsonate</t>
  </si>
  <si>
    <t>Hugo,Benítez,39,La Libertad</t>
  </si>
  <si>
    <t>Karla,Zelaya,34,Ahuachapán</t>
  </si>
  <si>
    <t>Edwin,Gómez,46,San Vicente</t>
  </si>
  <si>
    <t>Ejercicio 8 — Relleno rápido (Ctrl+E)</t>
  </si>
  <si>
    <t>Escribí UNA sola celda con el formato que querés y después Ctrl+E en la siguiente celda</t>
  </si>
  <si>
    <t>Primer nombre</t>
  </si>
  <si>
    <t>Correo corporativo</t>
  </si>
  <si>
    <t>Teléfono con guión</t>
  </si>
  <si>
    <t>Teléfono</t>
  </si>
  <si>
    <t>Juan Pérez</t>
  </si>
  <si>
    <t>Carlos Flores</t>
  </si>
  <si>
    <t>María Reyes</t>
  </si>
  <si>
    <t>Luis Martínez</t>
  </si>
  <si>
    <t>Elena Ramírez</t>
  </si>
  <si>
    <t>Oscar Hernández</t>
  </si>
  <si>
    <t>Rosa Mejía</t>
  </si>
  <si>
    <t>Pedro Ortiz</t>
  </si>
  <si>
    <t>Lucía Díaz</t>
  </si>
  <si>
    <t>Rubén García</t>
  </si>
  <si>
    <t>Carmen Rivas</t>
  </si>
  <si>
    <t>Jorge Castro</t>
  </si>
  <si>
    <t>Diana Sosa</t>
  </si>
  <si>
    <t>Mario Vega</t>
  </si>
  <si>
    <t>Sandra Alfaro</t>
  </si>
  <si>
    <t>Víctor Portillo</t>
  </si>
  <si>
    <t>Nancy Molina</t>
  </si>
  <si>
    <t>Hugo Benítez</t>
  </si>
  <si>
    <t>Karla Zelaya</t>
  </si>
  <si>
    <t>Edwin Gómez</t>
  </si>
  <si>
    <t>Ejercicio 9 — Quitar duplicados</t>
  </si>
  <si>
    <t>Lista con registros repetidos. Datos → Quitar duplicados → Aceptar</t>
  </si>
  <si>
    <t>ID</t>
  </si>
  <si>
    <t>Cliente</t>
  </si>
  <si>
    <t>Producto</t>
  </si>
  <si>
    <t>Constructora El Roble</t>
  </si>
  <si>
    <t>Arena</t>
  </si>
  <si>
    <t>Hay 23 filas. Después de quitar duplicados deberían quedar 15.</t>
  </si>
  <si>
    <t>Casa del Constructor</t>
  </si>
  <si>
    <t>Cal</t>
  </si>
  <si>
    <t>Materiales San José</t>
  </si>
  <si>
    <t>Varilla</t>
  </si>
  <si>
    <t>Depósito La Bendición</t>
  </si>
  <si>
    <t>Ferretería Central</t>
  </si>
  <si>
    <t>Ferremax</t>
  </si>
  <si>
    <t>Grava</t>
  </si>
  <si>
    <t>Megamaterial</t>
  </si>
  <si>
    <t>Cemento</t>
  </si>
  <si>
    <t>Ferretería La Esperanza</t>
  </si>
  <si>
    <t>Sucursal_Norte</t>
  </si>
  <si>
    <t>Ventas trimestre — Sucursal_Norte</t>
  </si>
  <si>
    <t>Ventas Q1</t>
  </si>
  <si>
    <t>Ventas Q2</t>
  </si>
  <si>
    <t>Block</t>
  </si>
  <si>
    <t>Ladrillo</t>
  </si>
  <si>
    <t>Alambre</t>
  </si>
  <si>
    <t>Sucursal_Sur</t>
  </si>
  <si>
    <t>Ventas trimestre — Sucursal_Sur</t>
  </si>
  <si>
    <t>Sucursal_Centro</t>
  </si>
  <si>
    <t>Ventas trimestre — Sucursal_Centro</t>
  </si>
  <si>
    <t>Ejercicio 10 — Consolidar por posición (3 sucursales)</t>
  </si>
  <si>
    <t>Datos → Consolidar → Suma → Agregar las 3 referencias → tildar Fila superior y Columna izquierda</t>
  </si>
  <si>
    <t>Posicionate en B5 antes de abrir Consolidar.
Referencia 1: Sucursal_Norte!$A$4:$C$12
Referencia 2: Sucursal_Sur!$A$4:$C$12
Referencia 3: Sucursal_Centro!$A$4:$C$12</t>
  </si>
  <si>
    <t>Sucursal A (otro orden de productos)</t>
  </si>
  <si>
    <t>Ventas</t>
  </si>
  <si>
    <t>Sucursal B (otro conjunto de productos)</t>
  </si>
  <si>
    <t>Ejercicio 11 — Consolidar por categoría</t>
  </si>
  <si>
    <t>Las sucursales A y B tienen productos distintos y en diferente orden</t>
  </si>
  <si>
    <t>Posicionate en B5 → Datos → Consolidar → Suma.
Referencia 1: Sucursal_A!$A$4:$B$9
Referencia 2: Sucursal_B!$A$4:$B$10
IMPORTANTE: tildar «Fila superior» Y «Columna izquierda».</t>
  </si>
  <si>
    <t>Fecha</t>
  </si>
  <si>
    <t>Vendedor</t>
  </si>
  <si>
    <t>Sucursal</t>
  </si>
  <si>
    <t>Cantidad</t>
  </si>
  <si>
    <t>Precio Unitario</t>
  </si>
  <si>
    <t>Descuento</t>
  </si>
  <si>
    <t>Total</t>
  </si>
  <si>
    <t>Sucursal Centro</t>
  </si>
  <si>
    <t>Sucursal Sur</t>
  </si>
  <si>
    <t>Rodríguez</t>
  </si>
  <si>
    <t>Sucursal Norte</t>
  </si>
  <si>
    <t>Álvarez</t>
  </si>
  <si>
    <t>Ejercicio 13 — Dividir ventana, Vista en paralelo y Nueva ventana</t>
  </si>
  <si>
    <t>Esta hoja tiene datos a propósito en zonas separadas para probar la división</t>
  </si>
  <si>
    <t>(a) Posicionate en D15 → Vista → Dividir</t>
  </si>
  <si>
    <t>(b) Vista → Nueva ventana</t>
  </si>
  <si>
    <t>(c) Vista → Ver en paralelo (con dos ventanas abiertas)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</si>
</sst>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d/mm/yyyy"/>
  </numFmts>
  <fonts count="12" x14ac:knownFonts="1">
    <font>
      <sz val="11"/>
      <color theme="1"/>
      <name val="Calibri"/>
      <family val="2"/>
      <scheme val="minor"/>
    </font>
    <font>
      <b/>
      <sz val="18"/>
      <color rgb="FF1E2761"/>
      <name val="Calibri"/>
    </font>
    <font>
      <i/>
      <sz val="11"/>
      <color rgb="FF5A6472"/>
      <name val="Calibri"/>
    </font>
    <font>
      <b/>
      <sz val="10"/>
      <color rgb="FFFFFFFF"/>
      <name val="Calibri"/>
    </font>
    <font>
      <b/>
      <sz val="13"/>
      <color rgb="FF1E2761"/>
      <name val="Calibri"/>
    </font>
    <font>
      <b/>
      <sz val="12"/>
      <color rgb="FF1E2761"/>
      <name val="Calibri"/>
    </font>
    <font>
      <sz val="11"/>
      <color rgb="FF2B2F38"/>
      <name val="Calibri"/>
    </font>
    <font>
      <b/>
      <sz val="11"/>
      <color rgb="FFFFFFFF"/>
      <name val="Calibri"/>
    </font>
    <font>
      <b/>
      <sz val="11"/>
      <color rgb="FF1E2761"/>
      <name val="Calibri"/>
    </font>
    <font>
      <sz val="11"/>
      <color rgb="FF2E5EAA"/>
      <name val="Calibri"/>
    </font>
    <font>
      <b/>
      <i/>
      <sz val="11"/>
      <color rgb="FF1E2761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FEF3C7"/>
      </patternFill>
    </fill>
    <fill>
      <patternFill patternType="solid">
        <fgColor rgb="FFDCE8F7"/>
      </patternFill>
    </fill>
  </fills>
  <borders count="3">
    <border>
      <left/>
      <right/>
      <top/>
      <bottom/>
      <diagonal/>
    </border>
    <border>
      <left style="thin">
        <color rgb="FFC8CCD4"/>
      </left>
      <right style="thin">
        <color rgb="FFC8CCD4"/>
      </right>
      <top style="thin">
        <color rgb="FFC8CCD4"/>
      </top>
      <bottom style="thin">
        <color rgb="FFC8CCD4"/>
      </bottom>
      <diagonal/>
    </border>
    <border>
      <left/>
      <right/>
      <top/>
      <bottom style="thin">
        <color rgb="FFC8CCD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164" fontId="0" fillId="0" borderId="1" xfId="0" applyNumberFormat="1" applyBorder="1"/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/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165" fontId="0" fillId="0" borderId="0" xfId="0" applyNumberFormat="1"/>
    <xf numFmtId="164" fontId="0" fillId="0" borderId="0" xfId="0" applyNumberFormat="1"/>
    <xf numFmtId="9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0" xfId="0" applyBorder="1"/>
    <xf numFmtId="0" fontId="11" fillId="0" borderId="1" xfId="1" applyBorder="1"/>
    <xf numFmtId="0" fontId="11" fillId="0" borderId="0" xfId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0"/>
  <sheetViews>
    <sheetView showGridLines="0" workbookViewId="0"/>
  </sheetViews>
  <sheetFormatPr baseColWidth="10" defaultColWidth="8.88671875" defaultRowHeight="14.4" x14ac:dyDescent="0.3"/>
  <cols>
    <col min="1" max="1" width="4" customWidth="1"/>
    <col min="2" max="2" width="115" customWidth="1"/>
  </cols>
  <sheetData>
    <row r="2" spans="2:2" ht="23.4" x14ac:dyDescent="0.45">
      <c r="B2" s="1" t="s">
        <v>0</v>
      </c>
    </row>
    <row r="3" spans="2:2" ht="28.8" x14ac:dyDescent="0.3">
      <c r="B3" s="2" t="s">
        <v>1</v>
      </c>
    </row>
    <row r="4" spans="2:2" ht="22.05" customHeight="1" x14ac:dyDescent="0.3">
      <c r="B4" s="3" t="s">
        <v>2</v>
      </c>
    </row>
    <row r="6" spans="2:2" ht="17.399999999999999" x14ac:dyDescent="0.35">
      <c r="B6" s="4" t="s">
        <v>3</v>
      </c>
    </row>
    <row r="7" spans="2:2" ht="15.6" x14ac:dyDescent="0.3">
      <c r="B7" s="5" t="s">
        <v>4</v>
      </c>
    </row>
    <row r="8" spans="2:2" ht="67.95" customHeight="1" x14ac:dyDescent="0.3">
      <c r="B8" s="6" t="s">
        <v>5</v>
      </c>
    </row>
    <row r="10" spans="2:2" ht="15.6" x14ac:dyDescent="0.3">
      <c r="B10" s="5" t="s">
        <v>6</v>
      </c>
    </row>
    <row r="11" spans="2:2" ht="67.95" customHeight="1" x14ac:dyDescent="0.3">
      <c r="B11" s="6" t="s">
        <v>7</v>
      </c>
    </row>
    <row r="13" spans="2:2" ht="15.6" x14ac:dyDescent="0.3">
      <c r="B13" s="5" t="s">
        <v>8</v>
      </c>
    </row>
    <row r="14" spans="2:2" ht="67.95" customHeight="1" x14ac:dyDescent="0.3">
      <c r="B14" s="6" t="s">
        <v>9</v>
      </c>
    </row>
    <row r="16" spans="2:2" ht="15.6" x14ac:dyDescent="0.3">
      <c r="B16" s="5" t="s">
        <v>10</v>
      </c>
    </row>
    <row r="17" spans="2:2" ht="67.95" customHeight="1" x14ac:dyDescent="0.3">
      <c r="B17" s="6" t="s">
        <v>11</v>
      </c>
    </row>
    <row r="19" spans="2:2" ht="15.6" x14ac:dyDescent="0.3">
      <c r="B19" s="5" t="s">
        <v>12</v>
      </c>
    </row>
    <row r="20" spans="2:2" ht="67.95" customHeight="1" x14ac:dyDescent="0.3">
      <c r="B20" s="6" t="s">
        <v>13</v>
      </c>
    </row>
    <row r="22" spans="2:2" ht="15.6" x14ac:dyDescent="0.3">
      <c r="B22" s="5" t="s">
        <v>14</v>
      </c>
    </row>
    <row r="23" spans="2:2" ht="67.95" customHeight="1" x14ac:dyDescent="0.3">
      <c r="B23" s="6" t="s">
        <v>15</v>
      </c>
    </row>
    <row r="25" spans="2:2" ht="17.399999999999999" x14ac:dyDescent="0.35">
      <c r="B25" s="4" t="s">
        <v>16</v>
      </c>
    </row>
    <row r="26" spans="2:2" ht="15.6" x14ac:dyDescent="0.3">
      <c r="B26" s="5" t="s">
        <v>17</v>
      </c>
    </row>
    <row r="27" spans="2:2" ht="67.95" customHeight="1" x14ac:dyDescent="0.3">
      <c r="B27" s="6" t="s">
        <v>18</v>
      </c>
    </row>
    <row r="29" spans="2:2" ht="15.6" x14ac:dyDescent="0.3">
      <c r="B29" s="5" t="s">
        <v>19</v>
      </c>
    </row>
    <row r="30" spans="2:2" ht="67.95" customHeight="1" x14ac:dyDescent="0.3">
      <c r="B30" s="6" t="s">
        <v>20</v>
      </c>
    </row>
    <row r="32" spans="2:2" ht="15.6" x14ac:dyDescent="0.3">
      <c r="B32" s="5" t="s">
        <v>21</v>
      </c>
    </row>
    <row r="33" spans="2:2" ht="67.95" customHeight="1" x14ac:dyDescent="0.3">
      <c r="B33" s="6" t="s">
        <v>22</v>
      </c>
    </row>
    <row r="35" spans="2:2" ht="15.6" x14ac:dyDescent="0.3">
      <c r="B35" s="5" t="s">
        <v>23</v>
      </c>
    </row>
    <row r="36" spans="2:2" ht="67.95" customHeight="1" x14ac:dyDescent="0.3">
      <c r="B36" s="6" t="s">
        <v>24</v>
      </c>
    </row>
    <row r="38" spans="2:2" ht="15.6" x14ac:dyDescent="0.3">
      <c r="B38" s="5" t="s">
        <v>25</v>
      </c>
    </row>
    <row r="39" spans="2:2" ht="67.95" customHeight="1" x14ac:dyDescent="0.3">
      <c r="B39" s="6" t="s">
        <v>26</v>
      </c>
    </row>
    <row r="41" spans="2:2" ht="17.399999999999999" x14ac:dyDescent="0.35">
      <c r="B41" s="4" t="s">
        <v>27</v>
      </c>
    </row>
    <row r="42" spans="2:2" ht="15.6" x14ac:dyDescent="0.3">
      <c r="B42" s="5" t="s">
        <v>28</v>
      </c>
    </row>
    <row r="43" spans="2:2" ht="67.95" customHeight="1" x14ac:dyDescent="0.3">
      <c r="B43" s="6" t="s">
        <v>29</v>
      </c>
    </row>
    <row r="45" spans="2:2" ht="15.6" x14ac:dyDescent="0.3">
      <c r="B45" s="5" t="s">
        <v>30</v>
      </c>
    </row>
    <row r="46" spans="2:2" ht="67.95" customHeight="1" x14ac:dyDescent="0.3">
      <c r="B46" s="6" t="s">
        <v>31</v>
      </c>
    </row>
    <row r="48" spans="2:2" ht="17.399999999999999" x14ac:dyDescent="0.35">
      <c r="B48" s="4" t="s">
        <v>32</v>
      </c>
    </row>
    <row r="49" spans="2:2" ht="15.6" x14ac:dyDescent="0.3">
      <c r="B49" s="5" t="s">
        <v>33</v>
      </c>
    </row>
    <row r="50" spans="2:2" ht="67.95" customHeight="1" x14ac:dyDescent="0.3">
      <c r="B50" s="6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6"/>
  <sheetViews>
    <sheetView showGridLines="0" topLeftCell="A3" workbookViewId="0">
      <selection activeCell="D16" sqref="D16"/>
    </sheetView>
  </sheetViews>
  <sheetFormatPr baseColWidth="10" defaultColWidth="8.88671875" defaultRowHeight="14.4" x14ac:dyDescent="0.3"/>
  <cols>
    <col min="1" max="1" width="3" customWidth="1"/>
    <col min="2" max="2" width="10" customWidth="1"/>
    <col min="3" max="3" width="22" customWidth="1"/>
    <col min="4" max="5" width="16" customWidth="1"/>
    <col min="6" max="6" width="3" customWidth="1"/>
    <col min="7" max="7" width="16" customWidth="1"/>
    <col min="8" max="8" width="40" customWidth="1"/>
  </cols>
  <sheetData>
    <row r="2" spans="1:8" ht="23.4" x14ac:dyDescent="0.45">
      <c r="B2" s="1" t="s">
        <v>35</v>
      </c>
    </row>
    <row r="3" spans="1:8" ht="158.4" x14ac:dyDescent="0.3">
      <c r="B3" s="2" t="s">
        <v>36</v>
      </c>
    </row>
    <row r="4" spans="1:8" x14ac:dyDescent="0.3">
      <c r="A4" s="7"/>
      <c r="B4" s="7" t="s">
        <v>37</v>
      </c>
      <c r="C4" s="7" t="s">
        <v>38</v>
      </c>
      <c r="D4" s="7" t="s">
        <v>39</v>
      </c>
      <c r="E4" s="7" t="s">
        <v>40</v>
      </c>
      <c r="G4" s="8" t="s">
        <v>41</v>
      </c>
    </row>
    <row r="5" spans="1:8" ht="28.8" x14ac:dyDescent="0.3">
      <c r="B5" s="9">
        <v>1</v>
      </c>
      <c r="C5" s="10" t="s">
        <v>42</v>
      </c>
      <c r="D5" s="11"/>
      <c r="E5" s="10" t="s">
        <v>43</v>
      </c>
      <c r="G5" s="12" t="s">
        <v>44</v>
      </c>
      <c r="H5" s="2" t="s">
        <v>45</v>
      </c>
    </row>
    <row r="6" spans="1:8" x14ac:dyDescent="0.3">
      <c r="B6" s="9">
        <v>2</v>
      </c>
      <c r="C6" s="10" t="s">
        <v>46</v>
      </c>
      <c r="D6" s="11"/>
      <c r="E6" s="10" t="s">
        <v>47</v>
      </c>
      <c r="G6" s="12" t="s">
        <v>48</v>
      </c>
    </row>
    <row r="7" spans="1:8" x14ac:dyDescent="0.3">
      <c r="B7" s="9">
        <v>3</v>
      </c>
      <c r="C7" s="10" t="s">
        <v>49</v>
      </c>
      <c r="D7" s="11"/>
      <c r="E7" s="10" t="s">
        <v>50</v>
      </c>
      <c r="G7" s="12" t="s">
        <v>51</v>
      </c>
    </row>
    <row r="8" spans="1:8" x14ac:dyDescent="0.3">
      <c r="B8" s="9">
        <v>4</v>
      </c>
      <c r="C8" s="10" t="s">
        <v>52</v>
      </c>
      <c r="D8" s="11"/>
      <c r="E8" s="10" t="s">
        <v>47</v>
      </c>
    </row>
    <row r="9" spans="1:8" x14ac:dyDescent="0.3">
      <c r="B9" s="9">
        <v>5</v>
      </c>
      <c r="C9" s="10" t="s">
        <v>53</v>
      </c>
      <c r="D9" s="11"/>
      <c r="E9" s="10" t="s">
        <v>43</v>
      </c>
    </row>
    <row r="10" spans="1:8" x14ac:dyDescent="0.3">
      <c r="B10" s="9">
        <v>6</v>
      </c>
      <c r="C10" s="10" t="s">
        <v>54</v>
      </c>
      <c r="D10" s="11"/>
      <c r="E10" s="10" t="s">
        <v>55</v>
      </c>
    </row>
    <row r="11" spans="1:8" x14ac:dyDescent="0.3">
      <c r="B11" s="9">
        <v>7</v>
      </c>
      <c r="C11" s="10" t="s">
        <v>56</v>
      </c>
      <c r="D11" s="11"/>
      <c r="E11" s="10" t="s">
        <v>57</v>
      </c>
    </row>
    <row r="12" spans="1:8" x14ac:dyDescent="0.3">
      <c r="B12" s="9">
        <v>8</v>
      </c>
      <c r="C12" s="10" t="s">
        <v>58</v>
      </c>
      <c r="D12" s="11"/>
      <c r="E12" s="10" t="s">
        <v>57</v>
      </c>
    </row>
    <row r="13" spans="1:8" x14ac:dyDescent="0.3">
      <c r="B13" s="9">
        <v>9</v>
      </c>
      <c r="C13" s="10" t="s">
        <v>59</v>
      </c>
      <c r="D13" s="11"/>
      <c r="E13" s="10" t="s">
        <v>50</v>
      </c>
    </row>
    <row r="14" spans="1:8" x14ac:dyDescent="0.3">
      <c r="B14" s="9">
        <v>10</v>
      </c>
      <c r="C14" s="10" t="s">
        <v>60</v>
      </c>
      <c r="D14" s="11"/>
      <c r="E14" s="10" t="s">
        <v>43</v>
      </c>
    </row>
    <row r="15" spans="1:8" x14ac:dyDescent="0.3">
      <c r="B15" s="9">
        <v>11</v>
      </c>
      <c r="C15" s="10" t="s">
        <v>61</v>
      </c>
      <c r="D15" s="11"/>
      <c r="E15" s="10" t="s">
        <v>43</v>
      </c>
    </row>
    <row r="16" spans="1:8" x14ac:dyDescent="0.3">
      <c r="B16" s="9">
        <v>12</v>
      </c>
      <c r="C16" s="10" t="s">
        <v>62</v>
      </c>
      <c r="D16" s="11"/>
      <c r="E16" s="10" t="s">
        <v>47</v>
      </c>
    </row>
  </sheetData>
  <dataValidations count="1">
    <dataValidation type="list" allowBlank="1" sqref="D17:D20" xr:uid="{00000000-0002-0000-0100-000000000000}">
      <formula1>$G$5:$G$7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25"/>
  <sheetViews>
    <sheetView showGridLines="0" topLeftCell="A3" workbookViewId="0">
      <selection activeCell="E5" sqref="E5:E25"/>
    </sheetView>
  </sheetViews>
  <sheetFormatPr baseColWidth="10" defaultColWidth="8.88671875" defaultRowHeight="14.4" x14ac:dyDescent="0.3"/>
  <cols>
    <col min="1" max="1" width="3" customWidth="1"/>
    <col min="2" max="2" width="10" customWidth="1"/>
    <col min="3" max="3" width="22" customWidth="1"/>
    <col min="4" max="5" width="14" customWidth="1"/>
    <col min="6" max="6" width="40" customWidth="1"/>
  </cols>
  <sheetData>
    <row r="2" spans="1:6" ht="23.4" x14ac:dyDescent="0.45">
      <c r="B2" s="1" t="s">
        <v>63</v>
      </c>
    </row>
    <row r="3" spans="1:6" ht="158.4" x14ac:dyDescent="0.3">
      <c r="B3" s="2" t="s">
        <v>64</v>
      </c>
    </row>
    <row r="4" spans="1:6" x14ac:dyDescent="0.3">
      <c r="A4" s="7"/>
      <c r="B4" s="7" t="s">
        <v>37</v>
      </c>
      <c r="C4" s="7" t="s">
        <v>65</v>
      </c>
      <c r="D4" s="7" t="s">
        <v>66</v>
      </c>
      <c r="E4" s="7" t="s">
        <v>67</v>
      </c>
    </row>
    <row r="5" spans="1:6" ht="28.8" x14ac:dyDescent="0.3">
      <c r="B5" s="9">
        <v>1</v>
      </c>
      <c r="C5" s="10" t="s">
        <v>68</v>
      </c>
      <c r="D5" s="13">
        <v>130.47999999999999</v>
      </c>
      <c r="E5" s="14"/>
      <c r="F5" s="2" t="s">
        <v>69</v>
      </c>
    </row>
    <row r="6" spans="1:6" x14ac:dyDescent="0.3">
      <c r="B6" s="9">
        <v>2</v>
      </c>
      <c r="C6" s="10" t="s">
        <v>70</v>
      </c>
      <c r="D6" s="13">
        <v>1302.83</v>
      </c>
      <c r="E6" s="14"/>
    </row>
    <row r="7" spans="1:6" x14ac:dyDescent="0.3">
      <c r="B7" s="9">
        <v>3</v>
      </c>
      <c r="C7" s="10" t="s">
        <v>71</v>
      </c>
      <c r="D7" s="13">
        <v>283.99</v>
      </c>
      <c r="E7" s="14"/>
    </row>
    <row r="8" spans="1:6" x14ac:dyDescent="0.3">
      <c r="B8" s="9">
        <v>4</v>
      </c>
      <c r="C8" s="10" t="s">
        <v>72</v>
      </c>
      <c r="D8" s="13">
        <v>2145.8000000000002</v>
      </c>
      <c r="E8" s="14"/>
    </row>
    <row r="9" spans="1:6" x14ac:dyDescent="0.3">
      <c r="B9" s="9">
        <v>5</v>
      </c>
      <c r="C9" s="10" t="s">
        <v>73</v>
      </c>
      <c r="D9" s="13">
        <v>1036.8900000000001</v>
      </c>
      <c r="E9" s="14"/>
    </row>
    <row r="10" spans="1:6" x14ac:dyDescent="0.3">
      <c r="B10" s="9">
        <v>6</v>
      </c>
      <c r="C10" s="10" t="s">
        <v>74</v>
      </c>
      <c r="D10" s="13">
        <v>317.52999999999997</v>
      </c>
      <c r="E10" s="14"/>
    </row>
    <row r="11" spans="1:6" x14ac:dyDescent="0.3">
      <c r="B11" s="9">
        <v>7</v>
      </c>
      <c r="C11" s="10" t="s">
        <v>75</v>
      </c>
      <c r="D11" s="13">
        <v>279.83999999999997</v>
      </c>
      <c r="E11" s="14"/>
    </row>
    <row r="12" spans="1:6" x14ac:dyDescent="0.3">
      <c r="B12" s="9">
        <v>8</v>
      </c>
      <c r="C12" s="10" t="s">
        <v>76</v>
      </c>
      <c r="D12" s="13">
        <v>1345.09</v>
      </c>
      <c r="E12" s="14"/>
    </row>
    <row r="13" spans="1:6" x14ac:dyDescent="0.3">
      <c r="B13" s="9">
        <v>9</v>
      </c>
      <c r="C13" s="10" t="s">
        <v>77</v>
      </c>
      <c r="D13" s="13">
        <v>896.4</v>
      </c>
      <c r="E13" s="14"/>
    </row>
    <row r="14" spans="1:6" x14ac:dyDescent="0.3">
      <c r="B14" s="9">
        <v>10</v>
      </c>
      <c r="C14" s="10" t="s">
        <v>78</v>
      </c>
      <c r="D14" s="13">
        <v>199.15</v>
      </c>
      <c r="E14" s="14"/>
    </row>
    <row r="15" spans="1:6" x14ac:dyDescent="0.3">
      <c r="B15" s="9">
        <v>11</v>
      </c>
      <c r="C15" s="10" t="s">
        <v>79</v>
      </c>
      <c r="D15" s="13">
        <v>152.56</v>
      </c>
      <c r="E15" s="14"/>
    </row>
    <row r="16" spans="1:6" x14ac:dyDescent="0.3">
      <c r="B16" s="9">
        <v>12</v>
      </c>
      <c r="C16" s="10" t="s">
        <v>80</v>
      </c>
      <c r="D16" s="13">
        <v>457.82</v>
      </c>
      <c r="E16" s="14"/>
    </row>
    <row r="17" spans="2:5" x14ac:dyDescent="0.3">
      <c r="B17" s="9">
        <v>13</v>
      </c>
      <c r="C17" s="10" t="s">
        <v>81</v>
      </c>
      <c r="D17" s="13">
        <v>572.52</v>
      </c>
      <c r="E17" s="14"/>
    </row>
    <row r="18" spans="2:5" x14ac:dyDescent="0.3">
      <c r="B18" s="9">
        <v>14</v>
      </c>
      <c r="C18" s="10" t="s">
        <v>82</v>
      </c>
      <c r="D18" s="13">
        <v>1041.26</v>
      </c>
      <c r="E18" s="14"/>
    </row>
    <row r="19" spans="2:5" x14ac:dyDescent="0.3">
      <c r="B19" s="9">
        <v>15</v>
      </c>
      <c r="C19" s="10" t="s">
        <v>83</v>
      </c>
      <c r="D19" s="13">
        <v>1916.6</v>
      </c>
      <c r="E19" s="14"/>
    </row>
    <row r="20" spans="2:5" x14ac:dyDescent="0.3">
      <c r="B20" s="9">
        <v>16</v>
      </c>
      <c r="C20" s="10" t="s">
        <v>84</v>
      </c>
      <c r="D20" s="13">
        <v>1470.94</v>
      </c>
      <c r="E20" s="14"/>
    </row>
    <row r="21" spans="2:5" x14ac:dyDescent="0.3">
      <c r="B21" s="9">
        <v>17</v>
      </c>
      <c r="C21" s="10" t="s">
        <v>85</v>
      </c>
      <c r="D21" s="13">
        <v>1523.46</v>
      </c>
      <c r="E21" s="14"/>
    </row>
    <row r="22" spans="2:5" x14ac:dyDescent="0.3">
      <c r="B22" s="9">
        <v>18</v>
      </c>
      <c r="C22" s="10" t="s">
        <v>86</v>
      </c>
      <c r="D22" s="13">
        <v>869.26</v>
      </c>
      <c r="E22" s="14"/>
    </row>
    <row r="23" spans="2:5" x14ac:dyDescent="0.3">
      <c r="B23" s="9">
        <v>19</v>
      </c>
      <c r="C23" s="10" t="s">
        <v>87</v>
      </c>
      <c r="D23" s="13">
        <v>687.37</v>
      </c>
      <c r="E23" s="14"/>
    </row>
    <row r="24" spans="2:5" x14ac:dyDescent="0.3">
      <c r="B24" s="9">
        <v>20</v>
      </c>
      <c r="C24" s="10" t="s">
        <v>88</v>
      </c>
      <c r="D24" s="13">
        <v>359.84</v>
      </c>
      <c r="E24" s="14"/>
    </row>
    <row r="25" spans="2:5" x14ac:dyDescent="0.3">
      <c r="B25" s="9">
        <v>21</v>
      </c>
      <c r="C25" s="10" t="s">
        <v>89</v>
      </c>
      <c r="D25" s="13">
        <v>774.27</v>
      </c>
      <c r="E25" s="1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25"/>
  <sheetViews>
    <sheetView showGridLines="0" topLeftCell="A3" zoomScale="90" zoomScaleNormal="90" workbookViewId="0">
      <selection activeCell="B5" sqref="B5:B25"/>
    </sheetView>
  </sheetViews>
  <sheetFormatPr baseColWidth="10" defaultColWidth="8.88671875" defaultRowHeight="14.4" x14ac:dyDescent="0.3"/>
  <cols>
    <col min="1" max="1" width="3" customWidth="1"/>
    <col min="2" max="2" width="28" customWidth="1"/>
    <col min="3" max="3" width="10" customWidth="1"/>
    <col min="4" max="4" width="16" customWidth="1"/>
    <col min="5" max="5" width="40" customWidth="1"/>
  </cols>
  <sheetData>
    <row r="2" spans="1:5" ht="23.4" x14ac:dyDescent="0.45">
      <c r="B2" s="1" t="s">
        <v>90</v>
      </c>
    </row>
    <row r="3" spans="1:5" ht="43.2" x14ac:dyDescent="0.3">
      <c r="B3" s="2" t="s">
        <v>91</v>
      </c>
    </row>
    <row r="4" spans="1:5" x14ac:dyDescent="0.3">
      <c r="A4" s="7"/>
      <c r="B4" s="7" t="s">
        <v>92</v>
      </c>
      <c r="C4" s="7" t="s">
        <v>93</v>
      </c>
      <c r="D4" s="7" t="s">
        <v>94</v>
      </c>
    </row>
    <row r="5" spans="1:5" ht="43.2" x14ac:dyDescent="0.3">
      <c r="B5" s="11"/>
      <c r="C5" s="14"/>
      <c r="D5" s="15"/>
      <c r="E5" s="2" t="s">
        <v>95</v>
      </c>
    </row>
    <row r="6" spans="1:5" x14ac:dyDescent="0.3">
      <c r="B6" s="11"/>
      <c r="C6" s="14"/>
      <c r="D6" s="15"/>
    </row>
    <row r="7" spans="1:5" x14ac:dyDescent="0.3">
      <c r="B7" s="11"/>
      <c r="C7" s="14"/>
      <c r="D7" s="15"/>
    </row>
    <row r="8" spans="1:5" x14ac:dyDescent="0.3">
      <c r="B8" s="11"/>
      <c r="C8" s="14"/>
      <c r="D8" s="15"/>
      <c r="E8" s="21">
        <f ca="1">TODAY()</f>
        <v>46326</v>
      </c>
    </row>
    <row r="9" spans="1:5" x14ac:dyDescent="0.3">
      <c r="B9" s="11"/>
      <c r="C9" s="14"/>
      <c r="D9" s="15"/>
    </row>
    <row r="10" spans="1:5" x14ac:dyDescent="0.3">
      <c r="B10" s="11"/>
      <c r="C10" s="14"/>
      <c r="D10" s="15"/>
    </row>
    <row r="11" spans="1:5" x14ac:dyDescent="0.3">
      <c r="B11" s="11"/>
      <c r="C11" s="14"/>
      <c r="D11" s="15"/>
    </row>
    <row r="12" spans="1:5" x14ac:dyDescent="0.3">
      <c r="B12" s="11"/>
      <c r="C12" s="14"/>
      <c r="D12" s="15"/>
    </row>
    <row r="13" spans="1:5" x14ac:dyDescent="0.3">
      <c r="B13" s="11"/>
      <c r="C13" s="14"/>
      <c r="D13" s="15"/>
    </row>
    <row r="14" spans="1:5" x14ac:dyDescent="0.3">
      <c r="B14" s="11"/>
      <c r="C14" s="14"/>
      <c r="D14" s="15"/>
    </row>
    <row r="15" spans="1:5" x14ac:dyDescent="0.3">
      <c r="B15" s="11"/>
      <c r="C15" s="14"/>
      <c r="D15" s="15"/>
    </row>
    <row r="16" spans="1:5" x14ac:dyDescent="0.3">
      <c r="B16" s="11"/>
      <c r="C16" s="14"/>
      <c r="D16" s="15"/>
    </row>
    <row r="17" spans="2:4" x14ac:dyDescent="0.3">
      <c r="B17" s="11"/>
      <c r="C17" s="14"/>
      <c r="D17" s="15"/>
    </row>
    <row r="18" spans="2:4" x14ac:dyDescent="0.3">
      <c r="B18" s="11"/>
      <c r="C18" s="14"/>
      <c r="D18" s="15"/>
    </row>
    <row r="19" spans="2:4" x14ac:dyDescent="0.3">
      <c r="B19" s="11"/>
      <c r="C19" s="14"/>
      <c r="D19" s="15"/>
    </row>
    <row r="20" spans="2:4" x14ac:dyDescent="0.3">
      <c r="B20" s="11"/>
      <c r="C20" s="14"/>
      <c r="D20" s="15"/>
    </row>
    <row r="21" spans="2:4" x14ac:dyDescent="0.3">
      <c r="B21" s="11"/>
      <c r="C21" s="14"/>
      <c r="D21" s="15"/>
    </row>
    <row r="22" spans="2:4" x14ac:dyDescent="0.3">
      <c r="B22" s="11"/>
      <c r="C22" s="14"/>
      <c r="D22" s="15"/>
    </row>
    <row r="23" spans="2:4" x14ac:dyDescent="0.3">
      <c r="B23" s="11"/>
      <c r="C23" s="14"/>
      <c r="D23" s="15"/>
    </row>
    <row r="24" spans="2:4" x14ac:dyDescent="0.3">
      <c r="B24" s="11"/>
      <c r="C24" s="14"/>
      <c r="D24" s="15"/>
    </row>
    <row r="25" spans="2:4" x14ac:dyDescent="0.3">
      <c r="B25" s="11"/>
      <c r="C25" s="14"/>
      <c r="D25" s="15"/>
    </row>
  </sheetData>
  <dataValidations count="1">
    <dataValidation allowBlank="1" showInputMessage="1" sqref="B5:B25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14"/>
  <sheetViews>
    <sheetView showGridLines="0" workbookViewId="0">
      <selection activeCell="D5" sqref="D5:D14"/>
    </sheetView>
  </sheetViews>
  <sheetFormatPr baseColWidth="10" defaultColWidth="8.88671875" defaultRowHeight="14.4" x14ac:dyDescent="0.3"/>
  <cols>
    <col min="1" max="1" width="3" customWidth="1"/>
    <col min="2" max="2" width="10" customWidth="1"/>
    <col min="3" max="3" width="22" customWidth="1"/>
    <col min="4" max="4" width="12" customWidth="1"/>
    <col min="5" max="5" width="40" customWidth="1"/>
  </cols>
  <sheetData>
    <row r="2" spans="1:5" ht="23.4" x14ac:dyDescent="0.45">
      <c r="B2" s="1" t="s">
        <v>96</v>
      </c>
    </row>
    <row r="3" spans="1:5" ht="129.6" x14ac:dyDescent="0.3">
      <c r="B3" s="2" t="s">
        <v>97</v>
      </c>
    </row>
    <row r="4" spans="1:5" x14ac:dyDescent="0.3">
      <c r="A4" s="7"/>
      <c r="B4" s="7" t="s">
        <v>37</v>
      </c>
      <c r="C4" s="7" t="s">
        <v>98</v>
      </c>
      <c r="D4" s="7" t="s">
        <v>93</v>
      </c>
    </row>
    <row r="5" spans="1:5" ht="43.2" x14ac:dyDescent="0.3">
      <c r="B5" s="10">
        <v>1</v>
      </c>
      <c r="C5" s="10" t="s">
        <v>99</v>
      </c>
      <c r="D5" s="11"/>
      <c r="E5" s="2" t="s">
        <v>100</v>
      </c>
    </row>
    <row r="6" spans="1:5" x14ac:dyDescent="0.3">
      <c r="B6" s="10">
        <v>2</v>
      </c>
      <c r="C6" s="10" t="s">
        <v>101</v>
      </c>
      <c r="D6" s="11"/>
    </row>
    <row r="7" spans="1:5" x14ac:dyDescent="0.3">
      <c r="B7" s="10">
        <v>3</v>
      </c>
      <c r="C7" s="10" t="s">
        <v>102</v>
      </c>
      <c r="D7" s="11"/>
    </row>
    <row r="8" spans="1:5" x14ac:dyDescent="0.3">
      <c r="B8" s="10">
        <v>4</v>
      </c>
      <c r="C8" s="10" t="s">
        <v>103</v>
      </c>
      <c r="D8" s="11"/>
    </row>
    <row r="9" spans="1:5" x14ac:dyDescent="0.3">
      <c r="B9" s="10">
        <v>5</v>
      </c>
      <c r="C9" s="10" t="s">
        <v>104</v>
      </c>
      <c r="D9" s="11"/>
    </row>
    <row r="10" spans="1:5" x14ac:dyDescent="0.3">
      <c r="B10" s="10">
        <v>6</v>
      </c>
      <c r="C10" s="10" t="s">
        <v>105</v>
      </c>
      <c r="D10" s="11"/>
    </row>
    <row r="11" spans="1:5" x14ac:dyDescent="0.3">
      <c r="B11" s="10">
        <v>7</v>
      </c>
      <c r="C11" s="10" t="s">
        <v>106</v>
      </c>
      <c r="D11" s="11"/>
    </row>
    <row r="12" spans="1:5" x14ac:dyDescent="0.3">
      <c r="B12" s="10">
        <v>8</v>
      </c>
      <c r="C12" s="10" t="s">
        <v>107</v>
      </c>
      <c r="D12" s="11"/>
    </row>
    <row r="13" spans="1:5" x14ac:dyDescent="0.3">
      <c r="B13" s="10">
        <v>9</v>
      </c>
      <c r="C13" s="10" t="s">
        <v>108</v>
      </c>
      <c r="D13" s="11"/>
    </row>
    <row r="14" spans="1:5" x14ac:dyDescent="0.3">
      <c r="B14" s="10">
        <v>10</v>
      </c>
      <c r="C14" s="10" t="s">
        <v>109</v>
      </c>
      <c r="D14" s="11"/>
    </row>
  </sheetData>
  <dataValidations count="1">
    <dataValidation allowBlank="1" sqref="D5:D14" xr:uid="{00000000-0002-0000-0400-000000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25"/>
  <sheetViews>
    <sheetView showGridLines="0" topLeftCell="A4" zoomScale="90" zoomScaleNormal="90" workbookViewId="0">
      <selection activeCell="C5" sqref="C5:C25"/>
    </sheetView>
  </sheetViews>
  <sheetFormatPr baseColWidth="10" defaultColWidth="8.88671875" defaultRowHeight="14.4" x14ac:dyDescent="0.3"/>
  <cols>
    <col min="1" max="1" width="4.6640625" customWidth="1"/>
    <col min="2" max="2" width="14" customWidth="1"/>
    <col min="3" max="3" width="22" customWidth="1"/>
    <col min="4" max="4" width="14" customWidth="1"/>
    <col min="5" max="5" width="45" customWidth="1"/>
  </cols>
  <sheetData>
    <row r="2" spans="1:5" ht="23.4" x14ac:dyDescent="0.45">
      <c r="B2" s="1" t="s">
        <v>110</v>
      </c>
    </row>
    <row r="3" spans="1:5" ht="100.8" x14ac:dyDescent="0.3">
      <c r="B3" s="2" t="s">
        <v>111</v>
      </c>
    </row>
    <row r="4" spans="1:5" ht="28.8" x14ac:dyDescent="0.3">
      <c r="A4" s="7"/>
      <c r="B4" s="7" t="s">
        <v>112</v>
      </c>
      <c r="C4" s="7" t="s">
        <v>113</v>
      </c>
      <c r="D4" s="7" t="s">
        <v>114</v>
      </c>
    </row>
    <row r="5" spans="1:5" ht="43.2" x14ac:dyDescent="0.3">
      <c r="B5" s="14"/>
      <c r="C5" s="11"/>
      <c r="D5" s="15"/>
      <c r="E5" s="2" t="s">
        <v>115</v>
      </c>
    </row>
    <row r="6" spans="1:5" x14ac:dyDescent="0.3">
      <c r="B6" s="14"/>
      <c r="C6" s="11"/>
      <c r="D6" s="15"/>
    </row>
    <row r="7" spans="1:5" ht="28.8" x14ac:dyDescent="0.3">
      <c r="B7" s="14"/>
      <c r="C7" s="11"/>
      <c r="D7" s="15"/>
      <c r="E7" s="8" t="s">
        <v>116</v>
      </c>
    </row>
    <row r="8" spans="1:5" x14ac:dyDescent="0.3">
      <c r="B8" s="14"/>
      <c r="C8" s="11"/>
      <c r="D8" s="15"/>
      <c r="E8" s="16" t="s">
        <v>117</v>
      </c>
    </row>
    <row r="9" spans="1:5" x14ac:dyDescent="0.3">
      <c r="B9" s="14"/>
      <c r="C9" s="11"/>
      <c r="D9" s="15"/>
      <c r="E9" s="16" t="s">
        <v>118</v>
      </c>
    </row>
    <row r="10" spans="1:5" x14ac:dyDescent="0.3">
      <c r="B10" s="14"/>
      <c r="C10" s="11"/>
      <c r="D10" s="15"/>
      <c r="E10" s="16" t="s">
        <v>119</v>
      </c>
    </row>
    <row r="11" spans="1:5" x14ac:dyDescent="0.3">
      <c r="B11" s="14"/>
      <c r="C11" s="11"/>
      <c r="D11" s="15"/>
    </row>
    <row r="12" spans="1:5" x14ac:dyDescent="0.3">
      <c r="B12" s="14"/>
      <c r="C12" s="11"/>
      <c r="D12" s="15"/>
    </row>
    <row r="13" spans="1:5" x14ac:dyDescent="0.3">
      <c r="B13" s="14"/>
      <c r="C13" s="11"/>
      <c r="D13" s="15"/>
    </row>
    <row r="14" spans="1:5" x14ac:dyDescent="0.3">
      <c r="B14" s="14"/>
      <c r="C14" s="11"/>
      <c r="D14" s="15"/>
    </row>
    <row r="15" spans="1:5" x14ac:dyDescent="0.3">
      <c r="B15" s="14"/>
      <c r="C15" s="11"/>
      <c r="D15" s="15"/>
    </row>
    <row r="16" spans="1:5" x14ac:dyDescent="0.3">
      <c r="B16" s="14"/>
      <c r="C16" s="11"/>
      <c r="D16" s="15"/>
    </row>
    <row r="17" spans="2:4" x14ac:dyDescent="0.3">
      <c r="B17" s="14"/>
      <c r="C17" s="11"/>
      <c r="D17" s="15"/>
    </row>
    <row r="18" spans="2:4" x14ac:dyDescent="0.3">
      <c r="B18" s="14"/>
      <c r="C18" s="11"/>
      <c r="D18" s="15"/>
    </row>
    <row r="19" spans="2:4" x14ac:dyDescent="0.3">
      <c r="B19" s="14"/>
      <c r="C19" s="11"/>
      <c r="D19" s="15"/>
    </row>
    <row r="20" spans="2:4" x14ac:dyDescent="0.3">
      <c r="B20" s="14"/>
      <c r="C20" s="11"/>
      <c r="D20" s="15"/>
    </row>
    <row r="21" spans="2:4" x14ac:dyDescent="0.3">
      <c r="B21" s="14"/>
      <c r="C21" s="11"/>
      <c r="D21" s="15"/>
    </row>
    <row r="22" spans="2:4" x14ac:dyDescent="0.3">
      <c r="B22" s="14"/>
      <c r="C22" s="11"/>
      <c r="D22" s="15"/>
    </row>
    <row r="23" spans="2:4" x14ac:dyDescent="0.3">
      <c r="B23" s="14"/>
      <c r="C23" s="11"/>
      <c r="D23" s="15"/>
    </row>
    <row r="24" spans="2:4" x14ac:dyDescent="0.3">
      <c r="B24" s="14"/>
      <c r="C24" s="11"/>
      <c r="D24" s="15"/>
    </row>
    <row r="25" spans="2:4" x14ac:dyDescent="0.3">
      <c r="B25" s="14"/>
      <c r="C25" s="11"/>
      <c r="D25" s="1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16"/>
  <sheetViews>
    <sheetView showGridLines="0" topLeftCell="A3" zoomScale="80" zoomScaleNormal="80" workbookViewId="0">
      <selection activeCell="E12" sqref="E12"/>
    </sheetView>
  </sheetViews>
  <sheetFormatPr baseColWidth="10" defaultColWidth="8.88671875" defaultRowHeight="14.4" x14ac:dyDescent="0.3"/>
  <cols>
    <col min="1" max="1" width="3" customWidth="1"/>
    <col min="2" max="2" width="10" customWidth="1"/>
    <col min="3" max="3" width="22" customWidth="1"/>
    <col min="4" max="4" width="12" customWidth="1"/>
    <col min="5" max="5" width="45" customWidth="1"/>
  </cols>
  <sheetData>
    <row r="2" spans="1:5" ht="23.4" x14ac:dyDescent="0.45">
      <c r="B2" s="1" t="s">
        <v>120</v>
      </c>
    </row>
    <row r="3" spans="1:5" ht="187.2" x14ac:dyDescent="0.3">
      <c r="B3" s="2" t="s">
        <v>121</v>
      </c>
    </row>
    <row r="4" spans="1:5" x14ac:dyDescent="0.3">
      <c r="A4" s="7"/>
      <c r="B4" s="7" t="s">
        <v>37</v>
      </c>
      <c r="C4" s="7" t="s">
        <v>98</v>
      </c>
      <c r="D4" s="7" t="s">
        <v>93</v>
      </c>
    </row>
    <row r="5" spans="1:5" ht="57.6" x14ac:dyDescent="0.3">
      <c r="B5" s="10">
        <v>1</v>
      </c>
      <c r="C5" s="10" t="s">
        <v>122</v>
      </c>
      <c r="D5" s="9">
        <v>28</v>
      </c>
      <c r="E5" s="2" t="s">
        <v>123</v>
      </c>
    </row>
    <row r="6" spans="1:5" x14ac:dyDescent="0.3">
      <c r="B6" s="10">
        <v>2</v>
      </c>
      <c r="C6" s="10" t="s">
        <v>101</v>
      </c>
      <c r="D6" s="9">
        <v>15</v>
      </c>
    </row>
    <row r="7" spans="1:5" ht="28.8" x14ac:dyDescent="0.3">
      <c r="B7" s="10">
        <v>3</v>
      </c>
      <c r="C7" s="10" t="s">
        <v>102</v>
      </c>
      <c r="D7" s="9">
        <v>45</v>
      </c>
      <c r="E7" s="17" t="s">
        <v>124</v>
      </c>
    </row>
    <row r="8" spans="1:5" x14ac:dyDescent="0.3">
      <c r="B8" s="10">
        <v>4</v>
      </c>
      <c r="C8" s="10" t="s">
        <v>103</v>
      </c>
      <c r="D8" s="9">
        <v>70</v>
      </c>
    </row>
    <row r="9" spans="1:5" x14ac:dyDescent="0.3">
      <c r="B9" s="10">
        <v>5</v>
      </c>
      <c r="C9" s="10" t="s">
        <v>104</v>
      </c>
      <c r="D9" s="9">
        <v>33</v>
      </c>
    </row>
    <row r="10" spans="1:5" x14ac:dyDescent="0.3">
      <c r="B10" s="10">
        <v>6</v>
      </c>
      <c r="C10" s="10" t="s">
        <v>105</v>
      </c>
      <c r="D10" s="9">
        <v>22</v>
      </c>
    </row>
    <row r="11" spans="1:5" x14ac:dyDescent="0.3">
      <c r="B11" s="10">
        <v>7</v>
      </c>
      <c r="C11" s="10" t="s">
        <v>106</v>
      </c>
      <c r="D11" s="9">
        <v>17</v>
      </c>
    </row>
    <row r="12" spans="1:5" x14ac:dyDescent="0.3">
      <c r="B12" s="10">
        <v>8</v>
      </c>
      <c r="C12" s="10" t="s">
        <v>107</v>
      </c>
      <c r="D12" s="9">
        <v>54</v>
      </c>
    </row>
    <row r="13" spans="1:5" x14ac:dyDescent="0.3">
      <c r="B13" s="10">
        <v>9</v>
      </c>
      <c r="C13" s="10" t="s">
        <v>108</v>
      </c>
      <c r="D13" s="9">
        <v>41</v>
      </c>
    </row>
    <row r="14" spans="1:5" x14ac:dyDescent="0.3">
      <c r="B14" s="10">
        <v>10</v>
      </c>
      <c r="C14" s="10" t="s">
        <v>109</v>
      </c>
      <c r="D14" s="9">
        <v>80</v>
      </c>
    </row>
    <row r="15" spans="1:5" x14ac:dyDescent="0.3">
      <c r="B15" s="10">
        <v>11</v>
      </c>
      <c r="C15" s="10" t="s">
        <v>125</v>
      </c>
      <c r="D15" s="9">
        <v>29</v>
      </c>
    </row>
    <row r="16" spans="1:5" x14ac:dyDescent="0.3">
      <c r="B16" s="10">
        <v>12</v>
      </c>
      <c r="C16" s="10" t="s">
        <v>126</v>
      </c>
      <c r="D16" s="9">
        <v>38</v>
      </c>
    </row>
  </sheetData>
  <dataValidations count="1">
    <dataValidation type="whole" sqref="D5:D16" xr:uid="{00000000-0002-0000-0600-000000000000}">
      <formula1>18</formula1>
      <formula2>65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F25"/>
  <sheetViews>
    <sheetView showGridLines="0" zoomScaleNormal="100" zoomScaleSheetLayoutView="50" workbookViewId="0">
      <selection activeCell="F14" sqref="F14"/>
    </sheetView>
  </sheetViews>
  <sheetFormatPr baseColWidth="10" defaultColWidth="8.88671875" defaultRowHeight="14.4" x14ac:dyDescent="0.3"/>
  <cols>
    <col min="1" max="1" width="3" customWidth="1"/>
    <col min="2" max="2" width="40" customWidth="1"/>
    <col min="3" max="3" width="14" customWidth="1"/>
    <col min="4" max="4" width="8" customWidth="1"/>
    <col min="5" max="5" width="14" customWidth="1"/>
    <col min="6" max="6" width="40" customWidth="1"/>
  </cols>
  <sheetData>
    <row r="1" spans="1:6" ht="16.8" customHeight="1" x14ac:dyDescent="0.3">
      <c r="F1" s="22" t="s">
        <v>133</v>
      </c>
    </row>
    <row r="2" spans="1:6" ht="23.4" x14ac:dyDescent="0.45">
      <c r="B2" s="1" t="s">
        <v>127</v>
      </c>
      <c r="F2" s="22"/>
    </row>
    <row r="3" spans="1:6" ht="28.8" x14ac:dyDescent="0.3">
      <c r="B3" s="2" t="s">
        <v>128</v>
      </c>
      <c r="F3" s="23"/>
    </row>
    <row r="4" spans="1:6" x14ac:dyDescent="0.3">
      <c r="A4" s="7"/>
      <c r="B4" s="7" t="s">
        <v>129</v>
      </c>
      <c r="C4" s="7" t="s">
        <v>98</v>
      </c>
      <c r="D4" s="7" t="s">
        <v>130</v>
      </c>
      <c r="E4" s="7" t="s">
        <v>93</v>
      </c>
      <c r="F4" s="7" t="s">
        <v>131</v>
      </c>
    </row>
    <row r="5" spans="1:6" x14ac:dyDescent="0.3">
      <c r="B5" s="10" t="s">
        <v>132</v>
      </c>
      <c r="F5" s="2"/>
    </row>
    <row r="6" spans="1:6" x14ac:dyDescent="0.3">
      <c r="B6" s="10" t="s">
        <v>134</v>
      </c>
    </row>
    <row r="7" spans="1:6" x14ac:dyDescent="0.3">
      <c r="B7" s="10" t="s">
        <v>135</v>
      </c>
    </row>
    <row r="8" spans="1:6" x14ac:dyDescent="0.3">
      <c r="B8" s="10" t="s">
        <v>136</v>
      </c>
    </row>
    <row r="9" spans="1:6" x14ac:dyDescent="0.3">
      <c r="B9" s="10" t="s">
        <v>137</v>
      </c>
    </row>
    <row r="10" spans="1:6" x14ac:dyDescent="0.3">
      <c r="B10" s="10" t="s">
        <v>138</v>
      </c>
    </row>
    <row r="11" spans="1:6" x14ac:dyDescent="0.3">
      <c r="B11" s="10" t="s">
        <v>139</v>
      </c>
    </row>
    <row r="12" spans="1:6" x14ac:dyDescent="0.3">
      <c r="B12" s="10" t="s">
        <v>140</v>
      </c>
    </row>
    <row r="13" spans="1:6" x14ac:dyDescent="0.3">
      <c r="B13" s="10" t="s">
        <v>141</v>
      </c>
    </row>
    <row r="14" spans="1:6" x14ac:dyDescent="0.3">
      <c r="B14" s="10" t="s">
        <v>142</v>
      </c>
    </row>
    <row r="15" spans="1:6" x14ac:dyDescent="0.3">
      <c r="B15" s="10" t="s">
        <v>143</v>
      </c>
    </row>
    <row r="16" spans="1:6" x14ac:dyDescent="0.3">
      <c r="B16" s="10" t="s">
        <v>144</v>
      </c>
    </row>
    <row r="17" spans="2:2" x14ac:dyDescent="0.3">
      <c r="B17" s="10" t="s">
        <v>145</v>
      </c>
    </row>
    <row r="18" spans="2:2" x14ac:dyDescent="0.3">
      <c r="B18" s="10" t="s">
        <v>146</v>
      </c>
    </row>
    <row r="19" spans="2:2" x14ac:dyDescent="0.3">
      <c r="B19" s="10" t="s">
        <v>147</v>
      </c>
    </row>
    <row r="20" spans="2:2" x14ac:dyDescent="0.3">
      <c r="B20" s="10" t="s">
        <v>148</v>
      </c>
    </row>
    <row r="21" spans="2:2" x14ac:dyDescent="0.3">
      <c r="B21" s="10" t="s">
        <v>149</v>
      </c>
    </row>
    <row r="22" spans="2:2" x14ac:dyDescent="0.3">
      <c r="B22" s="10" t="s">
        <v>150</v>
      </c>
    </row>
    <row r="23" spans="2:2" x14ac:dyDescent="0.3">
      <c r="B23" s="10" t="s">
        <v>151</v>
      </c>
    </row>
    <row r="24" spans="2:2" x14ac:dyDescent="0.3">
      <c r="B24" s="10" t="s">
        <v>152</v>
      </c>
    </row>
    <row r="25" spans="2:2" x14ac:dyDescent="0.3">
      <c r="B25" s="10" t="s">
        <v>153</v>
      </c>
    </row>
  </sheetData>
  <mergeCells count="1">
    <mergeCell ref="F1:F3"/>
  </mergeCells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F25"/>
  <sheetViews>
    <sheetView showGridLines="0" tabSelected="1" topLeftCell="A5" workbookViewId="0">
      <selection activeCell="I20" sqref="I20"/>
    </sheetView>
  </sheetViews>
  <sheetFormatPr baseColWidth="10" defaultColWidth="8.88671875" defaultRowHeight="14.4" x14ac:dyDescent="0.3"/>
  <cols>
    <col min="1" max="1" width="22" customWidth="1"/>
    <col min="2" max="3" width="14" customWidth="1"/>
    <col min="4" max="4" width="32" customWidth="1"/>
    <col min="5" max="5" width="14" customWidth="1"/>
    <col min="6" max="6" width="12" customWidth="1"/>
  </cols>
  <sheetData>
    <row r="2" spans="1:6" ht="23.4" x14ac:dyDescent="0.45">
      <c r="A2" s="1" t="s">
        <v>154</v>
      </c>
      <c r="B2" s="24"/>
      <c r="D2" s="26"/>
    </row>
    <row r="3" spans="1:6" ht="57.6" x14ac:dyDescent="0.3">
      <c r="A3" s="2" t="s">
        <v>155</v>
      </c>
      <c r="B3" s="24"/>
      <c r="D3" s="26"/>
    </row>
    <row r="4" spans="1:6" ht="28.8" x14ac:dyDescent="0.3">
      <c r="A4" s="7" t="s">
        <v>92</v>
      </c>
      <c r="B4" s="7" t="s">
        <v>156</v>
      </c>
      <c r="C4" s="7" t="s">
        <v>130</v>
      </c>
      <c r="D4" s="7" t="s">
        <v>157</v>
      </c>
      <c r="E4" s="7" t="s">
        <v>158</v>
      </c>
      <c r="F4" s="7" t="s">
        <v>159</v>
      </c>
    </row>
    <row r="5" spans="1:6" x14ac:dyDescent="0.3">
      <c r="A5" s="10" t="s">
        <v>160</v>
      </c>
      <c r="B5" s="10"/>
      <c r="C5" s="10"/>
      <c r="D5" s="10"/>
      <c r="E5" s="10"/>
      <c r="F5" s="10">
        <v>46536914</v>
      </c>
    </row>
    <row r="6" spans="1:6" x14ac:dyDescent="0.3">
      <c r="A6" s="10" t="s">
        <v>122</v>
      </c>
      <c r="B6" s="10"/>
      <c r="C6" s="10"/>
      <c r="D6" s="25"/>
      <c r="E6" s="10"/>
      <c r="F6" s="10">
        <v>78456392</v>
      </c>
    </row>
    <row r="7" spans="1:6" x14ac:dyDescent="0.3">
      <c r="A7" s="10" t="s">
        <v>161</v>
      </c>
      <c r="B7" s="10"/>
      <c r="C7" s="10"/>
      <c r="D7" s="25"/>
      <c r="E7" s="10"/>
      <c r="F7" s="10">
        <v>41374584</v>
      </c>
    </row>
    <row r="8" spans="1:6" x14ac:dyDescent="0.3">
      <c r="A8" s="10" t="s">
        <v>162</v>
      </c>
      <c r="B8" s="10"/>
      <c r="C8" s="10"/>
      <c r="D8" s="25"/>
      <c r="E8" s="10"/>
      <c r="F8" s="10">
        <v>77700566</v>
      </c>
    </row>
    <row r="9" spans="1:6" x14ac:dyDescent="0.3">
      <c r="A9" s="10" t="s">
        <v>163</v>
      </c>
      <c r="B9" s="10"/>
      <c r="C9" s="10"/>
      <c r="D9" s="25"/>
      <c r="E9" s="10"/>
      <c r="F9" s="10">
        <v>41512877</v>
      </c>
    </row>
    <row r="10" spans="1:6" x14ac:dyDescent="0.3">
      <c r="A10" s="10" t="s">
        <v>164</v>
      </c>
      <c r="B10" s="10"/>
      <c r="C10" s="10"/>
      <c r="D10" s="25"/>
      <c r="E10" s="10"/>
      <c r="F10" s="10">
        <v>22282068</v>
      </c>
    </row>
    <row r="11" spans="1:6" x14ac:dyDescent="0.3">
      <c r="A11" s="10" t="s">
        <v>165</v>
      </c>
      <c r="B11" s="10"/>
      <c r="C11" s="10"/>
      <c r="D11" s="25"/>
      <c r="E11" s="10"/>
      <c r="F11" s="10">
        <v>24410940</v>
      </c>
    </row>
    <row r="12" spans="1:6" x14ac:dyDescent="0.3">
      <c r="A12" s="10" t="s">
        <v>166</v>
      </c>
      <c r="B12" s="10"/>
      <c r="C12" s="10"/>
      <c r="D12" s="25"/>
      <c r="E12" s="10"/>
      <c r="F12" s="10">
        <v>33513665</v>
      </c>
    </row>
    <row r="13" spans="1:6" x14ac:dyDescent="0.3">
      <c r="A13" s="10" t="s">
        <v>167</v>
      </c>
      <c r="B13" s="10"/>
      <c r="C13" s="10"/>
      <c r="D13" s="25"/>
      <c r="E13" s="10"/>
      <c r="F13" s="10">
        <v>78321239</v>
      </c>
    </row>
    <row r="14" spans="1:6" x14ac:dyDescent="0.3">
      <c r="A14" s="10" t="s">
        <v>168</v>
      </c>
      <c r="B14" s="10"/>
      <c r="C14" s="10"/>
      <c r="D14" s="25"/>
      <c r="E14" s="10"/>
      <c r="F14" s="10">
        <v>70074334</v>
      </c>
    </row>
    <row r="15" spans="1:6" x14ac:dyDescent="0.3">
      <c r="A15" s="10" t="s">
        <v>169</v>
      </c>
      <c r="B15" s="10"/>
      <c r="C15" s="10"/>
      <c r="D15" s="25"/>
      <c r="E15" s="10"/>
      <c r="F15" s="10">
        <v>44287760</v>
      </c>
    </row>
    <row r="16" spans="1:6" x14ac:dyDescent="0.3">
      <c r="A16" s="10" t="s">
        <v>170</v>
      </c>
      <c r="B16" s="10"/>
      <c r="C16" s="10"/>
      <c r="D16" s="25"/>
      <c r="E16" s="10"/>
      <c r="F16" s="10">
        <v>27997945</v>
      </c>
    </row>
    <row r="17" spans="1:6" x14ac:dyDescent="0.3">
      <c r="A17" s="10" t="s">
        <v>171</v>
      </c>
      <c r="B17" s="10"/>
      <c r="C17" s="10"/>
      <c r="D17" s="25"/>
      <c r="E17" s="10"/>
      <c r="F17" s="10">
        <v>23506724</v>
      </c>
    </row>
    <row r="18" spans="1:6" x14ac:dyDescent="0.3">
      <c r="A18" s="10" t="s">
        <v>172</v>
      </c>
      <c r="B18" s="10"/>
      <c r="C18" s="10"/>
      <c r="D18" s="25"/>
      <c r="E18" s="10"/>
      <c r="F18" s="10">
        <v>69025684</v>
      </c>
    </row>
    <row r="19" spans="1:6" x14ac:dyDescent="0.3">
      <c r="A19" s="10" t="s">
        <v>173</v>
      </c>
      <c r="B19" s="10"/>
      <c r="C19" s="10"/>
      <c r="D19" s="25"/>
      <c r="E19" s="10"/>
      <c r="F19" s="10">
        <v>67195054</v>
      </c>
    </row>
    <row r="20" spans="1:6" x14ac:dyDescent="0.3">
      <c r="A20" s="10" t="s">
        <v>174</v>
      </c>
      <c r="B20" s="10"/>
      <c r="C20" s="10"/>
      <c r="D20" s="25"/>
      <c r="E20" s="10"/>
      <c r="F20" s="10">
        <v>73913107</v>
      </c>
    </row>
    <row r="21" spans="1:6" x14ac:dyDescent="0.3">
      <c r="A21" s="10" t="s">
        <v>175</v>
      </c>
      <c r="B21" s="10"/>
      <c r="C21" s="10"/>
      <c r="D21" s="25"/>
      <c r="E21" s="10"/>
      <c r="F21" s="10">
        <v>23543482</v>
      </c>
    </row>
    <row r="22" spans="1:6" x14ac:dyDescent="0.3">
      <c r="A22" s="10" t="s">
        <v>176</v>
      </c>
      <c r="B22" s="10"/>
      <c r="C22" s="10"/>
      <c r="D22" s="25"/>
      <c r="E22" s="10"/>
      <c r="F22" s="10">
        <v>49250250</v>
      </c>
    </row>
    <row r="23" spans="1:6" x14ac:dyDescent="0.3">
      <c r="A23" s="10" t="s">
        <v>177</v>
      </c>
      <c r="B23" s="10"/>
      <c r="C23" s="10"/>
      <c r="D23" s="25"/>
      <c r="E23" s="10"/>
      <c r="F23" s="10">
        <v>32997695</v>
      </c>
    </row>
    <row r="24" spans="1:6" x14ac:dyDescent="0.3">
      <c r="A24" s="10" t="s">
        <v>178</v>
      </c>
      <c r="B24" s="10"/>
      <c r="C24" s="10"/>
      <c r="D24" s="25"/>
      <c r="E24" s="10"/>
      <c r="F24" s="10">
        <v>78901437</v>
      </c>
    </row>
    <row r="25" spans="1:6" x14ac:dyDescent="0.3">
      <c r="A25" s="10" t="s">
        <v>179</v>
      </c>
      <c r="B25" s="10"/>
      <c r="C25" s="10"/>
      <c r="D25" s="25"/>
      <c r="E25" s="10"/>
      <c r="F25" s="10">
        <v>79141998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F27"/>
  <sheetViews>
    <sheetView showGridLines="0" topLeftCell="A3" zoomScale="80" zoomScaleNormal="80" workbookViewId="0">
      <selection activeCell="K25" sqref="K25"/>
    </sheetView>
  </sheetViews>
  <sheetFormatPr baseColWidth="10" defaultColWidth="8.88671875" defaultRowHeight="14.4" x14ac:dyDescent="0.3"/>
  <cols>
    <col min="1" max="1" width="3" customWidth="1"/>
    <col min="2" max="2" width="10" customWidth="1"/>
    <col min="3" max="3" width="20" customWidth="1"/>
    <col min="4" max="4" width="18" customWidth="1"/>
    <col min="5" max="5" width="12" customWidth="1"/>
    <col min="6" max="6" width="40" customWidth="1"/>
  </cols>
  <sheetData>
    <row r="2" spans="1:6" ht="23.4" x14ac:dyDescent="0.45">
      <c r="B2" s="1" t="s">
        <v>180</v>
      </c>
    </row>
    <row r="3" spans="1:6" ht="100.8" x14ac:dyDescent="0.3">
      <c r="B3" s="2" t="s">
        <v>181</v>
      </c>
    </row>
    <row r="4" spans="1:6" x14ac:dyDescent="0.3">
      <c r="A4" s="7"/>
      <c r="B4" s="7" t="s">
        <v>182</v>
      </c>
      <c r="C4" s="7" t="s">
        <v>183</v>
      </c>
      <c r="D4" s="7" t="s">
        <v>184</v>
      </c>
      <c r="E4" s="7" t="s">
        <v>66</v>
      </c>
    </row>
    <row r="5" spans="1:6" ht="28.8" x14ac:dyDescent="0.3">
      <c r="B5" s="10">
        <v>3</v>
      </c>
      <c r="C5" s="10" t="s">
        <v>185</v>
      </c>
      <c r="D5" s="10" t="s">
        <v>186</v>
      </c>
      <c r="E5" s="13">
        <v>393.1</v>
      </c>
      <c r="F5" s="2" t="s">
        <v>187</v>
      </c>
    </row>
    <row r="6" spans="1:6" x14ac:dyDescent="0.3">
      <c r="B6" s="10">
        <v>1</v>
      </c>
      <c r="C6" s="10" t="s">
        <v>188</v>
      </c>
      <c r="D6" s="10" t="s">
        <v>189</v>
      </c>
      <c r="E6" s="13">
        <v>376.08</v>
      </c>
    </row>
    <row r="7" spans="1:6" x14ac:dyDescent="0.3">
      <c r="B7" s="10">
        <v>2</v>
      </c>
      <c r="C7" s="10" t="s">
        <v>188</v>
      </c>
      <c r="D7" s="10" t="s">
        <v>189</v>
      </c>
      <c r="E7" s="13">
        <v>481.61</v>
      </c>
    </row>
    <row r="8" spans="1:6" x14ac:dyDescent="0.3">
      <c r="B8" s="10">
        <v>14</v>
      </c>
      <c r="C8" s="10" t="s">
        <v>190</v>
      </c>
      <c r="D8" s="10" t="s">
        <v>191</v>
      </c>
      <c r="E8" s="13">
        <v>419.51</v>
      </c>
    </row>
    <row r="9" spans="1:6" x14ac:dyDescent="0.3">
      <c r="B9" s="10">
        <v>15</v>
      </c>
      <c r="C9" s="10" t="s">
        <v>192</v>
      </c>
      <c r="D9" s="10" t="s">
        <v>191</v>
      </c>
      <c r="E9" s="13">
        <v>102.2</v>
      </c>
    </row>
    <row r="10" spans="1:6" x14ac:dyDescent="0.3">
      <c r="B10" s="10">
        <v>3</v>
      </c>
      <c r="C10" s="10" t="s">
        <v>185</v>
      </c>
      <c r="D10" s="10" t="s">
        <v>186</v>
      </c>
      <c r="E10" s="13">
        <v>393.1</v>
      </c>
    </row>
    <row r="11" spans="1:6" x14ac:dyDescent="0.3">
      <c r="B11" s="10">
        <v>10</v>
      </c>
      <c r="C11" s="10" t="s">
        <v>193</v>
      </c>
      <c r="D11" s="10" t="s">
        <v>186</v>
      </c>
      <c r="E11" s="13">
        <v>129.63</v>
      </c>
    </row>
    <row r="12" spans="1:6" x14ac:dyDescent="0.3">
      <c r="B12" s="10">
        <v>2</v>
      </c>
      <c r="C12" s="10" t="s">
        <v>188</v>
      </c>
      <c r="D12" s="10" t="s">
        <v>189</v>
      </c>
      <c r="E12" s="13">
        <v>481.61</v>
      </c>
    </row>
    <row r="13" spans="1:6" x14ac:dyDescent="0.3">
      <c r="B13" s="10">
        <v>4</v>
      </c>
      <c r="C13" s="10" t="s">
        <v>194</v>
      </c>
      <c r="D13" s="10" t="s">
        <v>195</v>
      </c>
      <c r="E13" s="13">
        <v>155.94999999999999</v>
      </c>
    </row>
    <row r="14" spans="1:6" x14ac:dyDescent="0.3">
      <c r="B14" s="10">
        <v>1</v>
      </c>
      <c r="C14" s="10" t="s">
        <v>188</v>
      </c>
      <c r="D14" s="10" t="s">
        <v>189</v>
      </c>
      <c r="E14" s="13">
        <v>376.08</v>
      </c>
    </row>
    <row r="15" spans="1:6" x14ac:dyDescent="0.3">
      <c r="B15" s="10">
        <v>11</v>
      </c>
      <c r="C15" s="10" t="s">
        <v>193</v>
      </c>
      <c r="D15" s="10" t="s">
        <v>186</v>
      </c>
      <c r="E15" s="13">
        <v>98.94</v>
      </c>
    </row>
    <row r="16" spans="1:6" x14ac:dyDescent="0.3">
      <c r="B16" s="10">
        <v>9</v>
      </c>
      <c r="C16" s="10" t="s">
        <v>196</v>
      </c>
      <c r="D16" s="10" t="s">
        <v>189</v>
      </c>
      <c r="E16" s="13">
        <v>68.81</v>
      </c>
    </row>
    <row r="17" spans="2:5" x14ac:dyDescent="0.3">
      <c r="B17" s="10">
        <v>14</v>
      </c>
      <c r="C17" s="10" t="s">
        <v>190</v>
      </c>
      <c r="D17" s="10" t="s">
        <v>191</v>
      </c>
      <c r="E17" s="13">
        <v>419.51</v>
      </c>
    </row>
    <row r="18" spans="2:5" x14ac:dyDescent="0.3">
      <c r="B18" s="10">
        <v>13</v>
      </c>
      <c r="C18" s="10" t="s">
        <v>185</v>
      </c>
      <c r="D18" s="10" t="s">
        <v>189</v>
      </c>
      <c r="E18" s="13">
        <v>172.59</v>
      </c>
    </row>
    <row r="19" spans="2:5" x14ac:dyDescent="0.3">
      <c r="B19" s="10">
        <v>7</v>
      </c>
      <c r="C19" s="10" t="s">
        <v>196</v>
      </c>
      <c r="D19" s="10" t="s">
        <v>197</v>
      </c>
      <c r="E19" s="13">
        <v>397.53</v>
      </c>
    </row>
    <row r="20" spans="2:5" x14ac:dyDescent="0.3">
      <c r="B20" s="10">
        <v>7</v>
      </c>
      <c r="C20" s="10" t="s">
        <v>196</v>
      </c>
      <c r="D20" s="10" t="s">
        <v>197</v>
      </c>
      <c r="E20" s="13">
        <v>397.53</v>
      </c>
    </row>
    <row r="21" spans="2:5" x14ac:dyDescent="0.3">
      <c r="B21" s="10">
        <v>9</v>
      </c>
      <c r="C21" s="10" t="s">
        <v>196</v>
      </c>
      <c r="D21" s="10" t="s">
        <v>189</v>
      </c>
      <c r="E21" s="13">
        <v>68.81</v>
      </c>
    </row>
    <row r="22" spans="2:5" x14ac:dyDescent="0.3">
      <c r="B22" s="10">
        <v>6</v>
      </c>
      <c r="C22" s="10" t="s">
        <v>198</v>
      </c>
      <c r="D22" s="10" t="s">
        <v>197</v>
      </c>
      <c r="E22" s="13">
        <v>317.52999999999997</v>
      </c>
    </row>
    <row r="23" spans="2:5" x14ac:dyDescent="0.3">
      <c r="B23" s="10">
        <v>13</v>
      </c>
      <c r="C23" s="10" t="s">
        <v>185</v>
      </c>
      <c r="D23" s="10" t="s">
        <v>189</v>
      </c>
      <c r="E23" s="13">
        <v>172.59</v>
      </c>
    </row>
    <row r="24" spans="2:5" x14ac:dyDescent="0.3">
      <c r="B24" s="10">
        <v>4</v>
      </c>
      <c r="C24" s="10" t="s">
        <v>194</v>
      </c>
      <c r="D24" s="10" t="s">
        <v>195</v>
      </c>
      <c r="E24" s="13">
        <v>155.94999999999999</v>
      </c>
    </row>
    <row r="25" spans="2:5" x14ac:dyDescent="0.3">
      <c r="B25" s="10">
        <v>5</v>
      </c>
      <c r="C25" s="10" t="s">
        <v>198</v>
      </c>
      <c r="D25" s="10" t="s">
        <v>189</v>
      </c>
      <c r="E25" s="13">
        <v>237.98</v>
      </c>
    </row>
    <row r="26" spans="2:5" x14ac:dyDescent="0.3">
      <c r="B26" s="10">
        <v>12</v>
      </c>
      <c r="C26" s="10" t="s">
        <v>190</v>
      </c>
      <c r="D26" s="10" t="s">
        <v>197</v>
      </c>
      <c r="E26" s="13">
        <v>215.55</v>
      </c>
    </row>
    <row r="27" spans="2:5" x14ac:dyDescent="0.3">
      <c r="B27" s="10">
        <v>8</v>
      </c>
      <c r="C27" s="10" t="s">
        <v>198</v>
      </c>
      <c r="D27" s="10" t="s">
        <v>191</v>
      </c>
      <c r="E27" s="13">
        <v>147.97999999999999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C12"/>
  <sheetViews>
    <sheetView showGridLines="0" workbookViewId="0"/>
  </sheetViews>
  <sheetFormatPr baseColWidth="10" defaultColWidth="8.88671875" defaultRowHeight="14.4" x14ac:dyDescent="0.3"/>
  <cols>
    <col min="1" max="1" width="22" customWidth="1"/>
    <col min="2" max="3" width="14" customWidth="1"/>
  </cols>
  <sheetData>
    <row r="2" spans="1:3" ht="17.399999999999999" x14ac:dyDescent="0.35">
      <c r="A2" s="4" t="s">
        <v>199</v>
      </c>
    </row>
    <row r="3" spans="1:3" ht="28.8" x14ac:dyDescent="0.3">
      <c r="A3" s="2" t="s">
        <v>200</v>
      </c>
    </row>
    <row r="4" spans="1:3" x14ac:dyDescent="0.3">
      <c r="A4" s="7" t="s">
        <v>184</v>
      </c>
      <c r="B4" s="7" t="s">
        <v>201</v>
      </c>
      <c r="C4" s="7" t="s">
        <v>202</v>
      </c>
    </row>
    <row r="5" spans="1:3" x14ac:dyDescent="0.3">
      <c r="A5" s="10" t="s">
        <v>197</v>
      </c>
      <c r="B5" s="13">
        <v>1801.01</v>
      </c>
      <c r="C5" s="13">
        <v>553.70000000000005</v>
      </c>
    </row>
    <row r="6" spans="1:3" x14ac:dyDescent="0.3">
      <c r="A6" s="10" t="s">
        <v>189</v>
      </c>
      <c r="B6" s="13">
        <v>1872.16</v>
      </c>
      <c r="C6" s="13">
        <v>1271.21</v>
      </c>
    </row>
    <row r="7" spans="1:3" x14ac:dyDescent="0.3">
      <c r="A7" s="10" t="s">
        <v>186</v>
      </c>
      <c r="B7" s="13">
        <v>4293.93</v>
      </c>
      <c r="C7" s="13">
        <v>2838.25</v>
      </c>
    </row>
    <row r="8" spans="1:3" x14ac:dyDescent="0.3">
      <c r="A8" s="10" t="s">
        <v>195</v>
      </c>
      <c r="B8" s="13">
        <v>1962.61</v>
      </c>
      <c r="C8" s="13">
        <v>3557.03</v>
      </c>
    </row>
    <row r="9" spans="1:3" x14ac:dyDescent="0.3">
      <c r="A9" s="10" t="s">
        <v>191</v>
      </c>
      <c r="B9" s="13">
        <v>1651.82</v>
      </c>
      <c r="C9" s="13">
        <v>3903.42</v>
      </c>
    </row>
    <row r="10" spans="1:3" x14ac:dyDescent="0.3">
      <c r="A10" s="10" t="s">
        <v>203</v>
      </c>
      <c r="B10" s="13">
        <v>2437.0500000000002</v>
      </c>
      <c r="C10" s="13">
        <v>4255.38</v>
      </c>
    </row>
    <row r="11" spans="1:3" x14ac:dyDescent="0.3">
      <c r="A11" s="10" t="s">
        <v>204</v>
      </c>
      <c r="B11" s="13">
        <v>816.98</v>
      </c>
      <c r="C11" s="13">
        <v>3673.73</v>
      </c>
    </row>
    <row r="12" spans="1:3" x14ac:dyDescent="0.3">
      <c r="A12" s="10" t="s">
        <v>205</v>
      </c>
      <c r="B12" s="13">
        <v>3263.69</v>
      </c>
      <c r="C12" s="13">
        <v>4541.1099999999997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C12"/>
  <sheetViews>
    <sheetView showGridLines="0" workbookViewId="0"/>
  </sheetViews>
  <sheetFormatPr baseColWidth="10" defaultColWidth="8.88671875" defaultRowHeight="14.4" x14ac:dyDescent="0.3"/>
  <cols>
    <col min="1" max="1" width="22" customWidth="1"/>
    <col min="2" max="3" width="14" customWidth="1"/>
  </cols>
  <sheetData>
    <row r="2" spans="1:3" ht="17.399999999999999" x14ac:dyDescent="0.35">
      <c r="A2" s="4" t="s">
        <v>206</v>
      </c>
    </row>
    <row r="3" spans="1:3" ht="28.8" x14ac:dyDescent="0.3">
      <c r="A3" s="2" t="s">
        <v>207</v>
      </c>
    </row>
    <row r="4" spans="1:3" x14ac:dyDescent="0.3">
      <c r="A4" s="7" t="s">
        <v>184</v>
      </c>
      <c r="B4" s="7" t="s">
        <v>201</v>
      </c>
      <c r="C4" s="7" t="s">
        <v>202</v>
      </c>
    </row>
    <row r="5" spans="1:3" x14ac:dyDescent="0.3">
      <c r="A5" s="10" t="s">
        <v>197</v>
      </c>
      <c r="B5" s="13">
        <v>2827.35</v>
      </c>
      <c r="C5" s="13">
        <v>2300.12</v>
      </c>
    </row>
    <row r="6" spans="1:3" x14ac:dyDescent="0.3">
      <c r="A6" s="10" t="s">
        <v>189</v>
      </c>
      <c r="B6" s="13">
        <v>1400.8</v>
      </c>
      <c r="C6" s="13">
        <v>2844.94</v>
      </c>
    </row>
    <row r="7" spans="1:3" x14ac:dyDescent="0.3">
      <c r="A7" s="10" t="s">
        <v>186</v>
      </c>
      <c r="B7" s="13">
        <v>1969.98</v>
      </c>
      <c r="C7" s="13">
        <v>576.1</v>
      </c>
    </row>
    <row r="8" spans="1:3" x14ac:dyDescent="0.3">
      <c r="A8" s="10" t="s">
        <v>195</v>
      </c>
      <c r="B8" s="13">
        <v>3600.12</v>
      </c>
      <c r="C8" s="13">
        <v>3946.01</v>
      </c>
    </row>
    <row r="9" spans="1:3" x14ac:dyDescent="0.3">
      <c r="A9" s="10" t="s">
        <v>191</v>
      </c>
      <c r="B9" s="13">
        <v>2211.39</v>
      </c>
      <c r="C9" s="13">
        <v>1281.47</v>
      </c>
    </row>
    <row r="10" spans="1:3" x14ac:dyDescent="0.3">
      <c r="A10" s="10" t="s">
        <v>203</v>
      </c>
      <c r="B10" s="13">
        <v>1295.4100000000001</v>
      </c>
      <c r="C10" s="13">
        <v>3195.46</v>
      </c>
    </row>
    <row r="11" spans="1:3" x14ac:dyDescent="0.3">
      <c r="A11" s="10" t="s">
        <v>204</v>
      </c>
      <c r="B11" s="13">
        <v>2956.11</v>
      </c>
      <c r="C11" s="13">
        <v>1727.53</v>
      </c>
    </row>
    <row r="12" spans="1:3" x14ac:dyDescent="0.3">
      <c r="A12" s="10" t="s">
        <v>205</v>
      </c>
      <c r="B12" s="13">
        <v>1513.77</v>
      </c>
      <c r="C12" s="13">
        <v>1932.37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C12"/>
  <sheetViews>
    <sheetView showGridLines="0" workbookViewId="0"/>
  </sheetViews>
  <sheetFormatPr baseColWidth="10" defaultColWidth="8.88671875" defaultRowHeight="14.4" x14ac:dyDescent="0.3"/>
  <cols>
    <col min="1" max="1" width="22" customWidth="1"/>
    <col min="2" max="3" width="14" customWidth="1"/>
  </cols>
  <sheetData>
    <row r="2" spans="1:3" ht="17.399999999999999" x14ac:dyDescent="0.35">
      <c r="A2" s="4" t="s">
        <v>208</v>
      </c>
    </row>
    <row r="3" spans="1:3" ht="28.8" x14ac:dyDescent="0.3">
      <c r="A3" s="2" t="s">
        <v>209</v>
      </c>
    </row>
    <row r="4" spans="1:3" x14ac:dyDescent="0.3">
      <c r="A4" s="7" t="s">
        <v>184</v>
      </c>
      <c r="B4" s="7" t="s">
        <v>201</v>
      </c>
      <c r="C4" s="7" t="s">
        <v>202</v>
      </c>
    </row>
    <row r="5" spans="1:3" x14ac:dyDescent="0.3">
      <c r="A5" s="10" t="s">
        <v>197</v>
      </c>
      <c r="B5" s="13">
        <v>5721.84</v>
      </c>
      <c r="C5" s="13">
        <v>658.03</v>
      </c>
    </row>
    <row r="6" spans="1:3" x14ac:dyDescent="0.3">
      <c r="A6" s="10" t="s">
        <v>189</v>
      </c>
      <c r="B6" s="13">
        <v>2830.65</v>
      </c>
      <c r="C6" s="13">
        <v>2423.9299999999998</v>
      </c>
    </row>
    <row r="7" spans="1:3" x14ac:dyDescent="0.3">
      <c r="A7" s="10" t="s">
        <v>186</v>
      </c>
      <c r="B7" s="13">
        <v>2030.74</v>
      </c>
      <c r="C7" s="13">
        <v>1788.19</v>
      </c>
    </row>
    <row r="8" spans="1:3" x14ac:dyDescent="0.3">
      <c r="A8" s="10" t="s">
        <v>195</v>
      </c>
      <c r="B8" s="13">
        <v>1697.98</v>
      </c>
      <c r="C8" s="13">
        <v>3114.29</v>
      </c>
    </row>
    <row r="9" spans="1:3" x14ac:dyDescent="0.3">
      <c r="A9" s="10" t="s">
        <v>191</v>
      </c>
      <c r="B9" s="13">
        <v>4853.7</v>
      </c>
      <c r="C9" s="13">
        <v>4234.6899999999996</v>
      </c>
    </row>
    <row r="10" spans="1:3" x14ac:dyDescent="0.3">
      <c r="A10" s="10" t="s">
        <v>203</v>
      </c>
      <c r="B10" s="13">
        <v>1500.12</v>
      </c>
      <c r="C10" s="13">
        <v>3536.45</v>
      </c>
    </row>
    <row r="11" spans="1:3" x14ac:dyDescent="0.3">
      <c r="A11" s="10" t="s">
        <v>204</v>
      </c>
      <c r="B11" s="13">
        <v>3214.42</v>
      </c>
      <c r="C11" s="13">
        <v>1190.06</v>
      </c>
    </row>
    <row r="12" spans="1:3" x14ac:dyDescent="0.3">
      <c r="A12" s="10" t="s">
        <v>205</v>
      </c>
      <c r="B12" s="13">
        <v>3968.81</v>
      </c>
      <c r="C12" s="13">
        <v>5579.16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F37"/>
  <sheetViews>
    <sheetView showGridLines="0" workbookViewId="0">
      <selection activeCell="G8" sqref="G8"/>
    </sheetView>
  </sheetViews>
  <sheetFormatPr baseColWidth="10" defaultColWidth="8.88671875" defaultRowHeight="14.4" x14ac:dyDescent="0.3"/>
  <cols>
    <col min="1" max="1" width="3" customWidth="1"/>
    <col min="2" max="2" width="2.21875" customWidth="1"/>
    <col min="3" max="3" width="24.33203125" customWidth="1"/>
    <col min="4" max="5" width="14" customWidth="1"/>
    <col min="6" max="6" width="40" customWidth="1"/>
  </cols>
  <sheetData>
    <row r="2" spans="2:6" ht="23.4" x14ac:dyDescent="0.45">
      <c r="B2" s="1" t="s">
        <v>210</v>
      </c>
      <c r="C2" s="1"/>
    </row>
    <row r="3" spans="2:6" ht="72" x14ac:dyDescent="0.3">
      <c r="B3" s="2" t="s">
        <v>211</v>
      </c>
      <c r="C3" s="2"/>
    </row>
    <row r="5" spans="2:6" ht="58.2" customHeight="1" x14ac:dyDescent="0.3">
      <c r="F5" s="2" t="s">
        <v>212</v>
      </c>
    </row>
    <row r="6" spans="2:6" ht="15.6" customHeight="1" x14ac:dyDescent="0.3">
      <c r="D6" s="19"/>
      <c r="E6" s="19"/>
      <c r="F6" s="2"/>
    </row>
    <row r="7" spans="2:6" ht="16.2" customHeight="1" x14ac:dyDescent="0.3">
      <c r="D7" s="19"/>
      <c r="E7" s="19"/>
      <c r="F7" s="2"/>
    </row>
    <row r="8" spans="2:6" ht="15.6" customHeight="1" x14ac:dyDescent="0.3">
      <c r="D8" s="19"/>
      <c r="E8" s="19"/>
      <c r="F8" s="2"/>
    </row>
    <row r="9" spans="2:6" x14ac:dyDescent="0.3">
      <c r="D9" s="19"/>
      <c r="E9" s="19"/>
    </row>
    <row r="10" spans="2:6" x14ac:dyDescent="0.3">
      <c r="D10" s="19"/>
      <c r="E10" s="19"/>
    </row>
    <row r="11" spans="2:6" x14ac:dyDescent="0.3">
      <c r="D11" s="19"/>
      <c r="E11" s="19"/>
    </row>
    <row r="12" spans="2:6" x14ac:dyDescent="0.3">
      <c r="D12" s="19"/>
      <c r="E12" s="19"/>
    </row>
    <row r="13" spans="2:6" x14ac:dyDescent="0.3">
      <c r="D13" s="19"/>
      <c r="E13" s="19"/>
    </row>
    <row r="14" spans="2:6" x14ac:dyDescent="0.3">
      <c r="D14" s="19"/>
      <c r="E14" s="19"/>
    </row>
    <row r="15" spans="2:6" x14ac:dyDescent="0.3">
      <c r="D15" s="19"/>
      <c r="E15" s="19"/>
    </row>
    <row r="16" spans="2:6" x14ac:dyDescent="0.3">
      <c r="D16" s="19"/>
      <c r="E16" s="19"/>
    </row>
    <row r="17" spans="4:5" x14ac:dyDescent="0.3">
      <c r="D17" s="19"/>
      <c r="E17" s="19"/>
    </row>
    <row r="18" spans="4:5" x14ac:dyDescent="0.3">
      <c r="D18" s="19"/>
      <c r="E18" s="19"/>
    </row>
    <row r="19" spans="4:5" x14ac:dyDescent="0.3">
      <c r="D19" s="19"/>
      <c r="E19" s="19"/>
    </row>
    <row r="20" spans="4:5" x14ac:dyDescent="0.3">
      <c r="D20" s="19"/>
      <c r="E20" s="19"/>
    </row>
    <row r="21" spans="4:5" x14ac:dyDescent="0.3">
      <c r="D21" s="19"/>
      <c r="E21" s="19"/>
    </row>
    <row r="22" spans="4:5" x14ac:dyDescent="0.3">
      <c r="D22" s="19"/>
      <c r="E22" s="19"/>
    </row>
    <row r="23" spans="4:5" x14ac:dyDescent="0.3">
      <c r="D23" s="19"/>
      <c r="E23" s="19"/>
    </row>
    <row r="24" spans="4:5" x14ac:dyDescent="0.3">
      <c r="D24" s="19"/>
      <c r="E24" s="19"/>
    </row>
    <row r="25" spans="4:5" x14ac:dyDescent="0.3">
      <c r="D25" s="19"/>
      <c r="E25" s="19"/>
    </row>
    <row r="26" spans="4:5" x14ac:dyDescent="0.3">
      <c r="D26" s="19"/>
      <c r="E26" s="19"/>
    </row>
    <row r="27" spans="4:5" x14ac:dyDescent="0.3">
      <c r="D27" s="19"/>
      <c r="E27" s="19"/>
    </row>
    <row r="28" spans="4:5" x14ac:dyDescent="0.3">
      <c r="D28" s="19"/>
      <c r="E28" s="19"/>
    </row>
    <row r="29" spans="4:5" x14ac:dyDescent="0.3">
      <c r="D29" s="19"/>
      <c r="E29" s="19"/>
    </row>
    <row r="30" spans="4:5" x14ac:dyDescent="0.3">
      <c r="D30" s="19"/>
      <c r="E30" s="19"/>
    </row>
    <row r="31" spans="4:5" x14ac:dyDescent="0.3">
      <c r="D31" s="19"/>
      <c r="E31" s="19"/>
    </row>
    <row r="32" spans="4:5" x14ac:dyDescent="0.3">
      <c r="D32" s="19"/>
      <c r="E32" s="19"/>
    </row>
    <row r="33" spans="4:5" x14ac:dyDescent="0.3">
      <c r="D33" s="19"/>
      <c r="E33" s="19"/>
    </row>
    <row r="34" spans="4:5" x14ac:dyDescent="0.3">
      <c r="D34" s="19"/>
      <c r="E34" s="19"/>
    </row>
    <row r="35" spans="4:5" x14ac:dyDescent="0.3">
      <c r="D35" s="19"/>
      <c r="E35" s="19"/>
    </row>
    <row r="36" spans="4:5" x14ac:dyDescent="0.3">
      <c r="D36" s="19"/>
      <c r="E36" s="19"/>
    </row>
    <row r="37" spans="4:5" x14ac:dyDescent="0.3">
      <c r="D37" s="19"/>
      <c r="E37" s="19"/>
    </row>
  </sheetData>
  <dataConsolidate leftLabels="1" topLabels="1" link="1">
    <dataRefs count="3">
      <dataRef ref="A4:C12" sheet="Sucursal_Centro"/>
      <dataRef ref="A4:C12" sheet="Sucursal_Norte"/>
      <dataRef ref="A4:C12" sheet="Sucursal_Sur"/>
    </dataRefs>
  </dataConsolidate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B9"/>
  <sheetViews>
    <sheetView showGridLines="0" workbookViewId="0"/>
  </sheetViews>
  <sheetFormatPr baseColWidth="10" defaultColWidth="8.88671875" defaultRowHeight="14.4" x14ac:dyDescent="0.3"/>
  <cols>
    <col min="1" max="1" width="22" customWidth="1"/>
    <col min="2" max="2" width="14" customWidth="1"/>
  </cols>
  <sheetData>
    <row r="2" spans="1:2" ht="17.399999999999999" x14ac:dyDescent="0.35">
      <c r="A2" s="4" t="s">
        <v>213</v>
      </c>
    </row>
    <row r="4" spans="1:2" x14ac:dyDescent="0.3">
      <c r="A4" s="7" t="s">
        <v>184</v>
      </c>
      <c r="B4" s="7" t="s">
        <v>214</v>
      </c>
    </row>
    <row r="5" spans="1:2" x14ac:dyDescent="0.3">
      <c r="A5" s="10" t="s">
        <v>197</v>
      </c>
      <c r="B5" s="13">
        <v>3808.95</v>
      </c>
    </row>
    <row r="6" spans="1:2" x14ac:dyDescent="0.3">
      <c r="A6" s="10" t="s">
        <v>191</v>
      </c>
      <c r="B6" s="13">
        <v>2782.34</v>
      </c>
    </row>
    <row r="7" spans="1:2" x14ac:dyDescent="0.3">
      <c r="A7" s="10" t="s">
        <v>203</v>
      </c>
      <c r="B7" s="13">
        <v>3796.64</v>
      </c>
    </row>
    <row r="8" spans="1:2" x14ac:dyDescent="0.3">
      <c r="A8" s="10" t="s">
        <v>186</v>
      </c>
      <c r="B8" s="13">
        <v>5184.93</v>
      </c>
    </row>
    <row r="9" spans="1:2" x14ac:dyDescent="0.3">
      <c r="A9" s="10" t="s">
        <v>205</v>
      </c>
      <c r="B9" s="13">
        <v>6646.6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B10"/>
  <sheetViews>
    <sheetView showGridLines="0" workbookViewId="0"/>
  </sheetViews>
  <sheetFormatPr baseColWidth="10" defaultColWidth="8.88671875" defaultRowHeight="14.4" x14ac:dyDescent="0.3"/>
  <cols>
    <col min="1" max="1" width="22" customWidth="1"/>
    <col min="2" max="2" width="14" customWidth="1"/>
  </cols>
  <sheetData>
    <row r="2" spans="1:2" ht="17.399999999999999" x14ac:dyDescent="0.35">
      <c r="A2" s="4" t="s">
        <v>215</v>
      </c>
    </row>
    <row r="4" spans="1:2" x14ac:dyDescent="0.3">
      <c r="A4" s="7" t="s">
        <v>184</v>
      </c>
      <c r="B4" s="7" t="s">
        <v>214</v>
      </c>
    </row>
    <row r="5" spans="1:2" x14ac:dyDescent="0.3">
      <c r="A5" s="10" t="s">
        <v>203</v>
      </c>
      <c r="B5" s="13">
        <v>1313.81</v>
      </c>
    </row>
    <row r="6" spans="1:2" x14ac:dyDescent="0.3">
      <c r="A6" s="10" t="s">
        <v>189</v>
      </c>
      <c r="B6" s="13">
        <v>2708.42</v>
      </c>
    </row>
    <row r="7" spans="1:2" x14ac:dyDescent="0.3">
      <c r="A7" s="10" t="s">
        <v>195</v>
      </c>
      <c r="B7" s="13">
        <v>2249.8000000000002</v>
      </c>
    </row>
    <row r="8" spans="1:2" x14ac:dyDescent="0.3">
      <c r="A8" s="10" t="s">
        <v>197</v>
      </c>
      <c r="B8" s="13">
        <v>3193.65</v>
      </c>
    </row>
    <row r="9" spans="1:2" x14ac:dyDescent="0.3">
      <c r="A9" s="10" t="s">
        <v>204</v>
      </c>
      <c r="B9" s="13">
        <v>4775.76</v>
      </c>
    </row>
    <row r="10" spans="1:2" x14ac:dyDescent="0.3">
      <c r="A10" s="10" t="s">
        <v>205</v>
      </c>
      <c r="B10" s="13">
        <v>6736.06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D5"/>
  <sheetViews>
    <sheetView showGridLines="0" workbookViewId="0">
      <selection activeCell="F9" sqref="F9"/>
    </sheetView>
  </sheetViews>
  <sheetFormatPr baseColWidth="10" defaultColWidth="8.88671875" defaultRowHeight="14.4" x14ac:dyDescent="0.3"/>
  <cols>
    <col min="1" max="1" width="3" customWidth="1"/>
    <col min="2" max="2" width="22" customWidth="1"/>
    <col min="3" max="3" width="14" customWidth="1"/>
    <col min="4" max="4" width="40" customWidth="1"/>
  </cols>
  <sheetData>
    <row r="2" spans="2:4" ht="23.4" x14ac:dyDescent="0.45">
      <c r="B2" s="1" t="s">
        <v>216</v>
      </c>
    </row>
    <row r="3" spans="2:4" ht="57.6" x14ac:dyDescent="0.3">
      <c r="B3" s="2" t="s">
        <v>217</v>
      </c>
    </row>
    <row r="5" spans="2:4" ht="90" customHeight="1" x14ac:dyDescent="0.3">
      <c r="D5" s="2" t="s">
        <v>218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51"/>
  <sheetViews>
    <sheetView showGridLines="0" workbookViewId="0"/>
  </sheetViews>
  <sheetFormatPr baseColWidth="10" defaultColWidth="8.88671875" defaultRowHeight="14.4" x14ac:dyDescent="0.3"/>
  <cols>
    <col min="1" max="1" width="6" customWidth="1"/>
    <col min="2" max="2" width="12" customWidth="1"/>
    <col min="3" max="3" width="22" customWidth="1"/>
    <col min="4" max="4" width="14" customWidth="1"/>
    <col min="5" max="5" width="16" customWidth="1"/>
    <col min="6" max="6" width="14" customWidth="1"/>
    <col min="7" max="7" width="10" customWidth="1"/>
    <col min="8" max="8" width="14" customWidth="1"/>
    <col min="9" max="9" width="10" customWidth="1"/>
    <col min="10" max="10" width="14" customWidth="1"/>
  </cols>
  <sheetData>
    <row r="1" spans="1:10" x14ac:dyDescent="0.3">
      <c r="A1" s="7" t="s">
        <v>182</v>
      </c>
      <c r="B1" s="7" t="s">
        <v>219</v>
      </c>
      <c r="C1" s="7" t="s">
        <v>183</v>
      </c>
      <c r="D1" s="7" t="s">
        <v>220</v>
      </c>
      <c r="E1" s="7" t="s">
        <v>221</v>
      </c>
      <c r="F1" s="7" t="s">
        <v>184</v>
      </c>
      <c r="G1" s="7" t="s">
        <v>222</v>
      </c>
      <c r="H1" s="7" t="s">
        <v>223</v>
      </c>
      <c r="I1" s="7" t="s">
        <v>224</v>
      </c>
      <c r="J1" s="7" t="s">
        <v>225</v>
      </c>
    </row>
    <row r="2" spans="1:10" x14ac:dyDescent="0.3">
      <c r="A2">
        <v>1</v>
      </c>
      <c r="B2" s="18">
        <v>46108</v>
      </c>
      <c r="C2" t="s">
        <v>196</v>
      </c>
      <c r="D2" t="s">
        <v>43</v>
      </c>
      <c r="E2" t="s">
        <v>226</v>
      </c>
      <c r="F2" t="s">
        <v>197</v>
      </c>
      <c r="G2">
        <v>31</v>
      </c>
      <c r="H2" s="19">
        <v>88.06</v>
      </c>
      <c r="I2" s="20">
        <v>0.08</v>
      </c>
      <c r="J2" s="19">
        <v>2511.4699999999998</v>
      </c>
    </row>
    <row r="3" spans="1:10" x14ac:dyDescent="0.3">
      <c r="A3">
        <v>2</v>
      </c>
      <c r="B3" s="18">
        <v>46215</v>
      </c>
      <c r="C3" t="s">
        <v>185</v>
      </c>
      <c r="D3" t="s">
        <v>43</v>
      </c>
      <c r="E3" t="s">
        <v>226</v>
      </c>
      <c r="F3" t="s">
        <v>191</v>
      </c>
      <c r="G3">
        <v>35</v>
      </c>
      <c r="H3" s="19">
        <v>19.239999999999998</v>
      </c>
      <c r="I3" s="20">
        <v>0.08</v>
      </c>
      <c r="J3" s="19">
        <v>619.53</v>
      </c>
    </row>
    <row r="4" spans="1:10" x14ac:dyDescent="0.3">
      <c r="A4">
        <v>3</v>
      </c>
      <c r="B4" s="18">
        <v>46083</v>
      </c>
      <c r="C4" t="s">
        <v>192</v>
      </c>
      <c r="D4" t="s">
        <v>55</v>
      </c>
      <c r="E4" t="s">
        <v>227</v>
      </c>
      <c r="F4" t="s">
        <v>186</v>
      </c>
      <c r="G4">
        <v>12</v>
      </c>
      <c r="H4" s="19">
        <v>13.3</v>
      </c>
      <c r="I4" s="20">
        <v>0.09</v>
      </c>
      <c r="J4" s="19">
        <v>145.24</v>
      </c>
    </row>
    <row r="5" spans="1:10" x14ac:dyDescent="0.3">
      <c r="A5">
        <v>4</v>
      </c>
      <c r="B5" s="18">
        <v>46248</v>
      </c>
      <c r="C5" t="s">
        <v>198</v>
      </c>
      <c r="D5" t="s">
        <v>50</v>
      </c>
      <c r="E5" t="s">
        <v>226</v>
      </c>
      <c r="F5" t="s">
        <v>205</v>
      </c>
      <c r="G5">
        <v>6</v>
      </c>
      <c r="H5" s="19">
        <v>32.54</v>
      </c>
      <c r="I5" s="20">
        <v>0</v>
      </c>
      <c r="J5" s="19">
        <v>195.24</v>
      </c>
    </row>
    <row r="6" spans="1:10" x14ac:dyDescent="0.3">
      <c r="A6">
        <v>5</v>
      </c>
      <c r="B6" s="18">
        <v>46312</v>
      </c>
      <c r="C6" t="s">
        <v>188</v>
      </c>
      <c r="D6" t="s">
        <v>43</v>
      </c>
      <c r="E6" t="s">
        <v>226</v>
      </c>
      <c r="F6" t="s">
        <v>197</v>
      </c>
      <c r="G6">
        <v>2</v>
      </c>
      <c r="H6" s="19">
        <v>48.14</v>
      </c>
      <c r="I6" s="20">
        <v>0.08</v>
      </c>
      <c r="J6" s="19">
        <v>88.58</v>
      </c>
    </row>
    <row r="7" spans="1:10" x14ac:dyDescent="0.3">
      <c r="A7">
        <v>6</v>
      </c>
      <c r="B7" s="18">
        <v>46087</v>
      </c>
      <c r="C7" t="s">
        <v>193</v>
      </c>
      <c r="D7" t="s">
        <v>57</v>
      </c>
      <c r="E7" t="s">
        <v>227</v>
      </c>
      <c r="F7" t="s">
        <v>197</v>
      </c>
      <c r="G7">
        <v>6</v>
      </c>
      <c r="H7" s="19">
        <v>158.97</v>
      </c>
      <c r="I7" s="20">
        <v>0.12</v>
      </c>
      <c r="J7" s="19">
        <v>839.36</v>
      </c>
    </row>
    <row r="8" spans="1:10" x14ac:dyDescent="0.3">
      <c r="A8">
        <v>7</v>
      </c>
      <c r="B8" s="18">
        <v>46300</v>
      </c>
      <c r="C8" t="s">
        <v>194</v>
      </c>
      <c r="D8" t="s">
        <v>228</v>
      </c>
      <c r="E8" t="s">
        <v>229</v>
      </c>
      <c r="F8" t="s">
        <v>205</v>
      </c>
      <c r="G8">
        <v>34</v>
      </c>
      <c r="H8" s="19">
        <v>40.14</v>
      </c>
      <c r="I8" s="20">
        <v>0.11</v>
      </c>
      <c r="J8" s="19">
        <v>1214.6400000000001</v>
      </c>
    </row>
    <row r="9" spans="1:10" x14ac:dyDescent="0.3">
      <c r="A9">
        <v>8</v>
      </c>
      <c r="B9" s="18">
        <v>46090</v>
      </c>
      <c r="C9" t="s">
        <v>194</v>
      </c>
      <c r="D9" t="s">
        <v>50</v>
      </c>
      <c r="E9" t="s">
        <v>229</v>
      </c>
      <c r="F9" t="s">
        <v>205</v>
      </c>
      <c r="G9">
        <v>50</v>
      </c>
      <c r="H9" s="19">
        <v>112.56</v>
      </c>
      <c r="I9" s="20">
        <v>0.06</v>
      </c>
      <c r="J9" s="19">
        <v>5290.32</v>
      </c>
    </row>
    <row r="10" spans="1:10" x14ac:dyDescent="0.3">
      <c r="A10">
        <v>9</v>
      </c>
      <c r="B10" s="18">
        <v>46212</v>
      </c>
      <c r="C10" t="s">
        <v>192</v>
      </c>
      <c r="D10" t="s">
        <v>50</v>
      </c>
      <c r="E10" t="s">
        <v>226</v>
      </c>
      <c r="F10" t="s">
        <v>195</v>
      </c>
      <c r="G10">
        <v>8</v>
      </c>
      <c r="H10" s="19">
        <v>110.81</v>
      </c>
      <c r="I10" s="20">
        <v>7.0000000000000007E-2</v>
      </c>
      <c r="J10" s="19">
        <v>824.43</v>
      </c>
    </row>
    <row r="11" spans="1:10" x14ac:dyDescent="0.3">
      <c r="A11">
        <v>10</v>
      </c>
      <c r="B11" s="18">
        <v>46249</v>
      </c>
      <c r="C11" t="s">
        <v>190</v>
      </c>
      <c r="D11" t="s">
        <v>230</v>
      </c>
      <c r="E11" t="s">
        <v>227</v>
      </c>
      <c r="F11" t="s">
        <v>189</v>
      </c>
      <c r="G11">
        <v>45</v>
      </c>
      <c r="H11" s="19">
        <v>96.23</v>
      </c>
      <c r="I11" s="20">
        <v>0.14000000000000001</v>
      </c>
      <c r="J11" s="19">
        <v>3724.1</v>
      </c>
    </row>
    <row r="12" spans="1:10" x14ac:dyDescent="0.3">
      <c r="A12">
        <v>11</v>
      </c>
      <c r="B12" s="18">
        <v>46152</v>
      </c>
      <c r="C12" t="s">
        <v>188</v>
      </c>
      <c r="D12" t="s">
        <v>47</v>
      </c>
      <c r="E12" t="s">
        <v>226</v>
      </c>
      <c r="F12" t="s">
        <v>204</v>
      </c>
      <c r="G12">
        <v>29</v>
      </c>
      <c r="H12" s="19">
        <v>37.659999999999997</v>
      </c>
      <c r="I12" s="20">
        <v>0.05</v>
      </c>
      <c r="J12" s="19">
        <v>1037.53</v>
      </c>
    </row>
    <row r="13" spans="1:10" x14ac:dyDescent="0.3">
      <c r="A13">
        <v>12</v>
      </c>
      <c r="B13" s="18">
        <v>46084</v>
      </c>
      <c r="C13" t="s">
        <v>193</v>
      </c>
      <c r="D13" t="s">
        <v>57</v>
      </c>
      <c r="E13" t="s">
        <v>229</v>
      </c>
      <c r="F13" t="s">
        <v>195</v>
      </c>
      <c r="G13">
        <v>11</v>
      </c>
      <c r="H13" s="19">
        <v>22.83</v>
      </c>
      <c r="I13" s="20">
        <v>0.11</v>
      </c>
      <c r="J13" s="19">
        <v>223.51</v>
      </c>
    </row>
    <row r="14" spans="1:10" x14ac:dyDescent="0.3">
      <c r="A14">
        <v>13</v>
      </c>
      <c r="B14" s="18">
        <v>46220</v>
      </c>
      <c r="C14" t="s">
        <v>196</v>
      </c>
      <c r="D14" t="s">
        <v>55</v>
      </c>
      <c r="E14" t="s">
        <v>229</v>
      </c>
      <c r="F14" t="s">
        <v>186</v>
      </c>
      <c r="G14">
        <v>30</v>
      </c>
      <c r="H14" s="19">
        <v>209.64</v>
      </c>
      <c r="I14" s="20">
        <v>0.03</v>
      </c>
      <c r="J14" s="19">
        <v>6100.52</v>
      </c>
    </row>
    <row r="15" spans="1:10" x14ac:dyDescent="0.3">
      <c r="A15">
        <v>14</v>
      </c>
      <c r="B15" s="18">
        <v>46137</v>
      </c>
      <c r="C15" t="s">
        <v>185</v>
      </c>
      <c r="D15" t="s">
        <v>50</v>
      </c>
      <c r="E15" t="s">
        <v>226</v>
      </c>
      <c r="F15" t="s">
        <v>191</v>
      </c>
      <c r="G15">
        <v>48</v>
      </c>
      <c r="H15" s="19">
        <v>232.6</v>
      </c>
      <c r="I15" s="20">
        <v>0.01</v>
      </c>
      <c r="J15" s="19">
        <v>11053.15</v>
      </c>
    </row>
    <row r="16" spans="1:10" x14ac:dyDescent="0.3">
      <c r="A16">
        <v>15</v>
      </c>
      <c r="B16" s="18">
        <v>46044</v>
      </c>
      <c r="C16" t="s">
        <v>190</v>
      </c>
      <c r="D16" t="s">
        <v>47</v>
      </c>
      <c r="E16" t="s">
        <v>226</v>
      </c>
      <c r="F16" t="s">
        <v>203</v>
      </c>
      <c r="G16">
        <v>10</v>
      </c>
      <c r="H16" s="19">
        <v>155.87</v>
      </c>
      <c r="I16" s="20">
        <v>0.01</v>
      </c>
      <c r="J16" s="19">
        <v>1543.11</v>
      </c>
    </row>
    <row r="17" spans="1:10" x14ac:dyDescent="0.3">
      <c r="A17">
        <v>16</v>
      </c>
      <c r="B17" s="18">
        <v>46148</v>
      </c>
      <c r="C17" t="s">
        <v>198</v>
      </c>
      <c r="D17" t="s">
        <v>43</v>
      </c>
      <c r="E17" t="s">
        <v>227</v>
      </c>
      <c r="F17" t="s">
        <v>205</v>
      </c>
      <c r="G17">
        <v>37</v>
      </c>
      <c r="H17" s="19">
        <v>127.73</v>
      </c>
      <c r="I17" s="20">
        <v>7.0000000000000007E-2</v>
      </c>
      <c r="J17" s="19">
        <v>4395.1899999999996</v>
      </c>
    </row>
    <row r="18" spans="1:10" x14ac:dyDescent="0.3">
      <c r="A18">
        <v>17</v>
      </c>
      <c r="B18" s="18">
        <v>46257</v>
      </c>
      <c r="C18" t="s">
        <v>196</v>
      </c>
      <c r="D18" t="s">
        <v>50</v>
      </c>
      <c r="E18" t="s">
        <v>227</v>
      </c>
      <c r="F18" t="s">
        <v>203</v>
      </c>
      <c r="G18">
        <v>10</v>
      </c>
      <c r="H18" s="19">
        <v>110.32</v>
      </c>
      <c r="I18" s="20">
        <v>0.12</v>
      </c>
      <c r="J18" s="19">
        <v>970.82</v>
      </c>
    </row>
    <row r="19" spans="1:10" x14ac:dyDescent="0.3">
      <c r="A19">
        <v>18</v>
      </c>
      <c r="B19" s="18">
        <v>46227</v>
      </c>
      <c r="C19" t="s">
        <v>194</v>
      </c>
      <c r="D19" t="s">
        <v>228</v>
      </c>
      <c r="E19" t="s">
        <v>229</v>
      </c>
      <c r="F19" t="s">
        <v>189</v>
      </c>
      <c r="G19">
        <v>5</v>
      </c>
      <c r="H19" s="19">
        <v>76.739999999999995</v>
      </c>
      <c r="I19" s="20">
        <v>0.09</v>
      </c>
      <c r="J19" s="19">
        <v>349.17</v>
      </c>
    </row>
    <row r="20" spans="1:10" x14ac:dyDescent="0.3">
      <c r="A20">
        <v>19</v>
      </c>
      <c r="B20" s="18">
        <v>46156</v>
      </c>
      <c r="C20" t="s">
        <v>193</v>
      </c>
      <c r="D20" t="s">
        <v>57</v>
      </c>
      <c r="E20" t="s">
        <v>226</v>
      </c>
      <c r="F20" t="s">
        <v>204</v>
      </c>
      <c r="G20">
        <v>24</v>
      </c>
      <c r="H20" s="19">
        <v>210.52</v>
      </c>
      <c r="I20" s="20">
        <v>0.08</v>
      </c>
      <c r="J20" s="19">
        <v>4648.28</v>
      </c>
    </row>
    <row r="21" spans="1:10" x14ac:dyDescent="0.3">
      <c r="A21">
        <v>20</v>
      </c>
      <c r="B21" s="18">
        <v>46197</v>
      </c>
      <c r="C21" t="s">
        <v>193</v>
      </c>
      <c r="D21" t="s">
        <v>230</v>
      </c>
      <c r="E21" t="s">
        <v>227</v>
      </c>
      <c r="F21" t="s">
        <v>191</v>
      </c>
      <c r="G21">
        <v>46</v>
      </c>
      <c r="H21" s="19">
        <v>132.76</v>
      </c>
      <c r="I21" s="20">
        <v>0.02</v>
      </c>
      <c r="J21" s="19">
        <v>5984.82</v>
      </c>
    </row>
    <row r="22" spans="1:10" x14ac:dyDescent="0.3">
      <c r="A22">
        <v>21</v>
      </c>
      <c r="B22" s="18">
        <v>46160</v>
      </c>
      <c r="C22" t="s">
        <v>185</v>
      </c>
      <c r="D22" t="s">
        <v>230</v>
      </c>
      <c r="E22" t="s">
        <v>229</v>
      </c>
      <c r="F22" t="s">
        <v>195</v>
      </c>
      <c r="G22">
        <v>16</v>
      </c>
      <c r="H22" s="19">
        <v>20.68</v>
      </c>
      <c r="I22" s="20">
        <v>0.12</v>
      </c>
      <c r="J22" s="19">
        <v>291.17</v>
      </c>
    </row>
    <row r="23" spans="1:10" x14ac:dyDescent="0.3">
      <c r="A23">
        <v>22</v>
      </c>
      <c r="B23" s="18">
        <v>46205</v>
      </c>
      <c r="C23" t="s">
        <v>194</v>
      </c>
      <c r="D23" t="s">
        <v>57</v>
      </c>
      <c r="E23" t="s">
        <v>226</v>
      </c>
      <c r="F23" t="s">
        <v>197</v>
      </c>
      <c r="G23">
        <v>36</v>
      </c>
      <c r="H23" s="19">
        <v>179.38</v>
      </c>
      <c r="I23" s="20">
        <v>0.03</v>
      </c>
      <c r="J23" s="19">
        <v>6263.95</v>
      </c>
    </row>
    <row r="24" spans="1:10" x14ac:dyDescent="0.3">
      <c r="A24">
        <v>23</v>
      </c>
      <c r="B24" s="18">
        <v>46251</v>
      </c>
      <c r="C24" t="s">
        <v>185</v>
      </c>
      <c r="D24" t="s">
        <v>55</v>
      </c>
      <c r="E24" t="s">
        <v>227</v>
      </c>
      <c r="F24" t="s">
        <v>204</v>
      </c>
      <c r="G24">
        <v>5</v>
      </c>
      <c r="H24" s="19">
        <v>230.16</v>
      </c>
      <c r="I24" s="20">
        <v>0</v>
      </c>
      <c r="J24" s="19">
        <v>1150.8</v>
      </c>
    </row>
    <row r="25" spans="1:10" x14ac:dyDescent="0.3">
      <c r="A25">
        <v>24</v>
      </c>
      <c r="B25" s="18">
        <v>46026</v>
      </c>
      <c r="C25" t="s">
        <v>198</v>
      </c>
      <c r="D25" t="s">
        <v>47</v>
      </c>
      <c r="E25" t="s">
        <v>227</v>
      </c>
      <c r="F25" t="s">
        <v>191</v>
      </c>
      <c r="G25">
        <v>20</v>
      </c>
      <c r="H25" s="19">
        <v>97.82</v>
      </c>
      <c r="I25" s="20">
        <v>0.05</v>
      </c>
      <c r="J25" s="19">
        <v>1858.58</v>
      </c>
    </row>
    <row r="26" spans="1:10" x14ac:dyDescent="0.3">
      <c r="A26">
        <v>25</v>
      </c>
      <c r="B26" s="18">
        <v>46189</v>
      </c>
      <c r="C26" t="s">
        <v>198</v>
      </c>
      <c r="D26" t="s">
        <v>47</v>
      </c>
      <c r="E26" t="s">
        <v>226</v>
      </c>
      <c r="F26" t="s">
        <v>195</v>
      </c>
      <c r="G26">
        <v>40</v>
      </c>
      <c r="H26" s="19">
        <v>159.87</v>
      </c>
      <c r="I26" s="20">
        <v>0.02</v>
      </c>
      <c r="J26" s="19">
        <v>6266.9</v>
      </c>
    </row>
    <row r="27" spans="1:10" x14ac:dyDescent="0.3">
      <c r="A27">
        <v>26</v>
      </c>
      <c r="B27" s="18">
        <v>46055</v>
      </c>
      <c r="C27" t="s">
        <v>190</v>
      </c>
      <c r="D27" t="s">
        <v>228</v>
      </c>
      <c r="E27" t="s">
        <v>227</v>
      </c>
      <c r="F27" t="s">
        <v>197</v>
      </c>
      <c r="G27">
        <v>41</v>
      </c>
      <c r="H27" s="19">
        <v>154.53</v>
      </c>
      <c r="I27" s="20">
        <v>0.13</v>
      </c>
      <c r="J27" s="19">
        <v>5512.09</v>
      </c>
    </row>
    <row r="28" spans="1:10" x14ac:dyDescent="0.3">
      <c r="A28">
        <v>27</v>
      </c>
      <c r="B28" s="18">
        <v>46071</v>
      </c>
      <c r="C28" t="s">
        <v>193</v>
      </c>
      <c r="D28" t="s">
        <v>228</v>
      </c>
      <c r="E28" t="s">
        <v>226</v>
      </c>
      <c r="F28" t="s">
        <v>203</v>
      </c>
      <c r="G28">
        <v>16</v>
      </c>
      <c r="H28" s="19">
        <v>220.88</v>
      </c>
      <c r="I28" s="20">
        <v>0.12</v>
      </c>
      <c r="J28" s="19">
        <v>3109.99</v>
      </c>
    </row>
    <row r="29" spans="1:10" x14ac:dyDescent="0.3">
      <c r="A29">
        <v>28</v>
      </c>
      <c r="B29" s="18">
        <v>46089</v>
      </c>
      <c r="C29" t="s">
        <v>188</v>
      </c>
      <c r="D29" t="s">
        <v>47</v>
      </c>
      <c r="E29" t="s">
        <v>229</v>
      </c>
      <c r="F29" t="s">
        <v>195</v>
      </c>
      <c r="G29">
        <v>42</v>
      </c>
      <c r="H29" s="19">
        <v>98.7</v>
      </c>
      <c r="I29" s="20">
        <v>0.08</v>
      </c>
      <c r="J29" s="19">
        <v>3813.77</v>
      </c>
    </row>
    <row r="30" spans="1:10" x14ac:dyDescent="0.3">
      <c r="A30">
        <v>29</v>
      </c>
      <c r="B30" s="18">
        <v>46253</v>
      </c>
      <c r="C30" t="s">
        <v>198</v>
      </c>
      <c r="D30" t="s">
        <v>57</v>
      </c>
      <c r="E30" t="s">
        <v>229</v>
      </c>
      <c r="F30" t="s">
        <v>204</v>
      </c>
      <c r="G30">
        <v>34</v>
      </c>
      <c r="H30" s="19">
        <v>84.99</v>
      </c>
      <c r="I30" s="20">
        <v>0.14000000000000001</v>
      </c>
      <c r="J30" s="19">
        <v>2485.11</v>
      </c>
    </row>
    <row r="31" spans="1:10" x14ac:dyDescent="0.3">
      <c r="A31">
        <v>30</v>
      </c>
      <c r="B31" s="18">
        <v>46090</v>
      </c>
      <c r="C31" t="s">
        <v>188</v>
      </c>
      <c r="D31" t="s">
        <v>228</v>
      </c>
      <c r="E31" t="s">
        <v>227</v>
      </c>
      <c r="F31" t="s">
        <v>197</v>
      </c>
      <c r="G31">
        <v>22</v>
      </c>
      <c r="H31" s="19">
        <v>147.63999999999999</v>
      </c>
      <c r="I31" s="20">
        <v>0.15</v>
      </c>
      <c r="J31" s="19">
        <v>2760.87</v>
      </c>
    </row>
    <row r="32" spans="1:10" x14ac:dyDescent="0.3">
      <c r="A32">
        <v>31</v>
      </c>
      <c r="B32" s="18">
        <v>46267</v>
      </c>
      <c r="C32" t="s">
        <v>196</v>
      </c>
      <c r="D32" t="s">
        <v>228</v>
      </c>
      <c r="E32" t="s">
        <v>227</v>
      </c>
      <c r="F32" t="s">
        <v>203</v>
      </c>
      <c r="G32">
        <v>28</v>
      </c>
      <c r="H32" s="19">
        <v>188.55</v>
      </c>
      <c r="I32" s="20">
        <v>0.12</v>
      </c>
      <c r="J32" s="19">
        <v>4645.87</v>
      </c>
    </row>
    <row r="33" spans="1:10" x14ac:dyDescent="0.3">
      <c r="A33">
        <v>32</v>
      </c>
      <c r="B33" s="18">
        <v>46179</v>
      </c>
      <c r="C33" t="s">
        <v>194</v>
      </c>
      <c r="D33" t="s">
        <v>228</v>
      </c>
      <c r="E33" t="s">
        <v>227</v>
      </c>
      <c r="F33" t="s">
        <v>189</v>
      </c>
      <c r="G33">
        <v>34</v>
      </c>
      <c r="H33" s="19">
        <v>201.93</v>
      </c>
      <c r="I33" s="20">
        <v>0.06</v>
      </c>
      <c r="J33" s="19">
        <v>6453.68</v>
      </c>
    </row>
    <row r="34" spans="1:10" x14ac:dyDescent="0.3">
      <c r="A34">
        <v>33</v>
      </c>
      <c r="B34" s="18">
        <v>46121</v>
      </c>
      <c r="C34" t="s">
        <v>193</v>
      </c>
      <c r="D34" t="s">
        <v>47</v>
      </c>
      <c r="E34" t="s">
        <v>227</v>
      </c>
      <c r="F34" t="s">
        <v>204</v>
      </c>
      <c r="G34">
        <v>6</v>
      </c>
      <c r="H34" s="19">
        <v>58.03</v>
      </c>
      <c r="I34" s="20">
        <v>7.0000000000000007E-2</v>
      </c>
      <c r="J34" s="19">
        <v>323.81</v>
      </c>
    </row>
    <row r="35" spans="1:10" x14ac:dyDescent="0.3">
      <c r="A35">
        <v>34</v>
      </c>
      <c r="B35" s="18">
        <v>46174</v>
      </c>
      <c r="C35" t="s">
        <v>196</v>
      </c>
      <c r="D35" t="s">
        <v>55</v>
      </c>
      <c r="E35" t="s">
        <v>226</v>
      </c>
      <c r="F35" t="s">
        <v>191</v>
      </c>
      <c r="G35">
        <v>11</v>
      </c>
      <c r="H35" s="19">
        <v>106.53</v>
      </c>
      <c r="I35" s="20">
        <v>0.06</v>
      </c>
      <c r="J35" s="19">
        <v>1101.52</v>
      </c>
    </row>
    <row r="36" spans="1:10" x14ac:dyDescent="0.3">
      <c r="A36">
        <v>35</v>
      </c>
      <c r="B36" s="18">
        <v>46313</v>
      </c>
      <c r="C36" t="s">
        <v>185</v>
      </c>
      <c r="D36" t="s">
        <v>47</v>
      </c>
      <c r="E36" t="s">
        <v>227</v>
      </c>
      <c r="F36" t="s">
        <v>195</v>
      </c>
      <c r="G36">
        <v>16</v>
      </c>
      <c r="H36" s="19">
        <v>23.25</v>
      </c>
      <c r="I36" s="20">
        <v>0.09</v>
      </c>
      <c r="J36" s="19">
        <v>338.52</v>
      </c>
    </row>
    <row r="37" spans="1:10" x14ac:dyDescent="0.3">
      <c r="A37">
        <v>36</v>
      </c>
      <c r="B37" s="18">
        <v>46062</v>
      </c>
      <c r="C37" t="s">
        <v>192</v>
      </c>
      <c r="D37" t="s">
        <v>47</v>
      </c>
      <c r="E37" t="s">
        <v>229</v>
      </c>
      <c r="F37" t="s">
        <v>205</v>
      </c>
      <c r="G37">
        <v>18</v>
      </c>
      <c r="H37" s="19">
        <v>117.75</v>
      </c>
      <c r="I37" s="20">
        <v>7.0000000000000007E-2</v>
      </c>
      <c r="J37" s="19">
        <v>1971.13</v>
      </c>
    </row>
    <row r="38" spans="1:10" x14ac:dyDescent="0.3">
      <c r="A38">
        <v>37</v>
      </c>
      <c r="B38" s="18">
        <v>46134</v>
      </c>
      <c r="C38" t="s">
        <v>196</v>
      </c>
      <c r="D38" t="s">
        <v>47</v>
      </c>
      <c r="E38" t="s">
        <v>226</v>
      </c>
      <c r="F38" t="s">
        <v>189</v>
      </c>
      <c r="G38">
        <v>35</v>
      </c>
      <c r="H38" s="19">
        <v>7.71</v>
      </c>
      <c r="I38" s="20">
        <v>0.11</v>
      </c>
      <c r="J38" s="19">
        <v>240.17</v>
      </c>
    </row>
    <row r="39" spans="1:10" x14ac:dyDescent="0.3">
      <c r="A39">
        <v>38</v>
      </c>
      <c r="B39" s="18">
        <v>46145</v>
      </c>
      <c r="C39" t="s">
        <v>196</v>
      </c>
      <c r="D39" t="s">
        <v>57</v>
      </c>
      <c r="E39" t="s">
        <v>229</v>
      </c>
      <c r="F39" t="s">
        <v>195</v>
      </c>
      <c r="G39">
        <v>42</v>
      </c>
      <c r="H39" s="19">
        <v>246.88</v>
      </c>
      <c r="I39" s="20">
        <v>0.04</v>
      </c>
      <c r="J39" s="19">
        <v>9954.2000000000007</v>
      </c>
    </row>
    <row r="40" spans="1:10" x14ac:dyDescent="0.3">
      <c r="A40">
        <v>39</v>
      </c>
      <c r="B40" s="18">
        <v>46223</v>
      </c>
      <c r="C40" t="s">
        <v>198</v>
      </c>
      <c r="D40" t="s">
        <v>43</v>
      </c>
      <c r="E40" t="s">
        <v>229</v>
      </c>
      <c r="F40" t="s">
        <v>189</v>
      </c>
      <c r="G40">
        <v>18</v>
      </c>
      <c r="H40" s="19">
        <v>51.16</v>
      </c>
      <c r="I40" s="20">
        <v>0.09</v>
      </c>
      <c r="J40" s="19">
        <v>838</v>
      </c>
    </row>
    <row r="41" spans="1:10" x14ac:dyDescent="0.3">
      <c r="A41">
        <v>40</v>
      </c>
      <c r="B41" s="18">
        <v>46182</v>
      </c>
      <c r="C41" t="s">
        <v>196</v>
      </c>
      <c r="D41" t="s">
        <v>57</v>
      </c>
      <c r="E41" t="s">
        <v>229</v>
      </c>
      <c r="F41" t="s">
        <v>197</v>
      </c>
      <c r="G41">
        <v>47</v>
      </c>
      <c r="H41" s="19">
        <v>114.39</v>
      </c>
      <c r="I41" s="20">
        <v>0.11</v>
      </c>
      <c r="J41" s="19">
        <v>4784.93</v>
      </c>
    </row>
    <row r="42" spans="1:10" x14ac:dyDescent="0.3">
      <c r="A42">
        <v>41</v>
      </c>
      <c r="B42" s="18">
        <v>46218</v>
      </c>
      <c r="C42" t="s">
        <v>185</v>
      </c>
      <c r="D42" t="s">
        <v>43</v>
      </c>
      <c r="E42" t="s">
        <v>229</v>
      </c>
      <c r="F42" t="s">
        <v>191</v>
      </c>
      <c r="G42">
        <v>45</v>
      </c>
      <c r="H42" s="19">
        <v>100.03</v>
      </c>
      <c r="I42" s="20">
        <v>0.04</v>
      </c>
      <c r="J42" s="19">
        <v>4321.3</v>
      </c>
    </row>
    <row r="43" spans="1:10" x14ac:dyDescent="0.3">
      <c r="A43">
        <v>42</v>
      </c>
      <c r="B43" s="18">
        <v>46109</v>
      </c>
      <c r="C43" t="s">
        <v>190</v>
      </c>
      <c r="D43" t="s">
        <v>230</v>
      </c>
      <c r="E43" t="s">
        <v>229</v>
      </c>
      <c r="F43" t="s">
        <v>191</v>
      </c>
      <c r="G43">
        <v>36</v>
      </c>
      <c r="H43" s="19">
        <v>87.56</v>
      </c>
      <c r="I43" s="20">
        <v>0.1</v>
      </c>
      <c r="J43" s="19">
        <v>2836.94</v>
      </c>
    </row>
    <row r="44" spans="1:10" x14ac:dyDescent="0.3">
      <c r="A44">
        <v>43</v>
      </c>
      <c r="B44" s="18">
        <v>46200</v>
      </c>
      <c r="C44" t="s">
        <v>193</v>
      </c>
      <c r="D44" t="s">
        <v>57</v>
      </c>
      <c r="E44" t="s">
        <v>229</v>
      </c>
      <c r="F44" t="s">
        <v>203</v>
      </c>
      <c r="G44">
        <v>41</v>
      </c>
      <c r="H44" s="19">
        <v>119.13</v>
      </c>
      <c r="I44" s="20">
        <v>0.09</v>
      </c>
      <c r="J44" s="19">
        <v>4444.74</v>
      </c>
    </row>
    <row r="45" spans="1:10" x14ac:dyDescent="0.3">
      <c r="A45">
        <v>44</v>
      </c>
      <c r="B45" s="18">
        <v>46252</v>
      </c>
      <c r="C45" t="s">
        <v>185</v>
      </c>
      <c r="D45" t="s">
        <v>57</v>
      </c>
      <c r="E45" t="s">
        <v>227</v>
      </c>
      <c r="F45" t="s">
        <v>204</v>
      </c>
      <c r="G45">
        <v>34</v>
      </c>
      <c r="H45" s="19">
        <v>130.69999999999999</v>
      </c>
      <c r="I45" s="20">
        <v>0.08</v>
      </c>
      <c r="J45" s="19">
        <v>4088.3</v>
      </c>
    </row>
    <row r="46" spans="1:10" x14ac:dyDescent="0.3">
      <c r="A46">
        <v>45</v>
      </c>
      <c r="B46" s="18">
        <v>46314</v>
      </c>
      <c r="C46" t="s">
        <v>196</v>
      </c>
      <c r="D46" t="s">
        <v>57</v>
      </c>
      <c r="E46" t="s">
        <v>226</v>
      </c>
      <c r="F46" t="s">
        <v>189</v>
      </c>
      <c r="G46">
        <v>32</v>
      </c>
      <c r="H46" s="19">
        <v>150.51</v>
      </c>
      <c r="I46" s="20">
        <v>0.08</v>
      </c>
      <c r="J46" s="19">
        <v>4431.01</v>
      </c>
    </row>
    <row r="47" spans="1:10" x14ac:dyDescent="0.3">
      <c r="A47">
        <v>46</v>
      </c>
      <c r="B47" s="18">
        <v>46184</v>
      </c>
      <c r="C47" t="s">
        <v>188</v>
      </c>
      <c r="D47" t="s">
        <v>228</v>
      </c>
      <c r="E47" t="s">
        <v>227</v>
      </c>
      <c r="F47" t="s">
        <v>204</v>
      </c>
      <c r="G47">
        <v>1</v>
      </c>
      <c r="H47" s="19">
        <v>188.27</v>
      </c>
      <c r="I47" s="20">
        <v>0.05</v>
      </c>
      <c r="J47" s="19">
        <v>178.86</v>
      </c>
    </row>
    <row r="48" spans="1:10" x14ac:dyDescent="0.3">
      <c r="A48">
        <v>47</v>
      </c>
      <c r="B48" s="18">
        <v>46163</v>
      </c>
      <c r="C48" t="s">
        <v>192</v>
      </c>
      <c r="D48" t="s">
        <v>57</v>
      </c>
      <c r="E48" t="s">
        <v>226</v>
      </c>
      <c r="F48" t="s">
        <v>204</v>
      </c>
      <c r="G48">
        <v>32</v>
      </c>
      <c r="H48" s="19">
        <v>19.420000000000002</v>
      </c>
      <c r="I48" s="20">
        <v>0.08</v>
      </c>
      <c r="J48" s="19">
        <v>571.72</v>
      </c>
    </row>
    <row r="49" spans="1:10" x14ac:dyDescent="0.3">
      <c r="A49">
        <v>48</v>
      </c>
      <c r="B49" s="18">
        <v>46251</v>
      </c>
      <c r="C49" t="s">
        <v>198</v>
      </c>
      <c r="D49" t="s">
        <v>50</v>
      </c>
      <c r="E49" t="s">
        <v>229</v>
      </c>
      <c r="F49" t="s">
        <v>204</v>
      </c>
      <c r="G49">
        <v>12</v>
      </c>
      <c r="H49" s="19">
        <v>69.02</v>
      </c>
      <c r="I49" s="20">
        <v>0.05</v>
      </c>
      <c r="J49" s="19">
        <v>786.83</v>
      </c>
    </row>
    <row r="50" spans="1:10" x14ac:dyDescent="0.3">
      <c r="A50">
        <v>49</v>
      </c>
      <c r="B50" s="18">
        <v>46280</v>
      </c>
      <c r="C50" t="s">
        <v>185</v>
      </c>
      <c r="D50" t="s">
        <v>43</v>
      </c>
      <c r="E50" t="s">
        <v>227</v>
      </c>
      <c r="F50" t="s">
        <v>191</v>
      </c>
      <c r="G50">
        <v>34</v>
      </c>
      <c r="H50" s="19">
        <v>225.01</v>
      </c>
      <c r="I50" s="20">
        <v>0.03</v>
      </c>
      <c r="J50" s="19">
        <v>7420.83</v>
      </c>
    </row>
    <row r="51" spans="1:10" x14ac:dyDescent="0.3">
      <c r="A51">
        <v>50</v>
      </c>
      <c r="B51" s="18">
        <v>46144</v>
      </c>
      <c r="C51" t="s">
        <v>192</v>
      </c>
      <c r="D51" t="s">
        <v>50</v>
      </c>
      <c r="E51" t="s">
        <v>229</v>
      </c>
      <c r="F51" t="s">
        <v>189</v>
      </c>
      <c r="G51">
        <v>37</v>
      </c>
      <c r="H51" s="19">
        <v>26.11</v>
      </c>
      <c r="I51" s="20">
        <v>0.03</v>
      </c>
      <c r="J51" s="19">
        <v>937.09</v>
      </c>
    </row>
    <row r="52" spans="1:10" x14ac:dyDescent="0.3">
      <c r="A52">
        <v>51</v>
      </c>
      <c r="B52" s="18">
        <v>46101</v>
      </c>
      <c r="C52" t="s">
        <v>193</v>
      </c>
      <c r="D52" t="s">
        <v>50</v>
      </c>
      <c r="E52" t="s">
        <v>227</v>
      </c>
      <c r="F52" t="s">
        <v>205</v>
      </c>
      <c r="G52">
        <v>22</v>
      </c>
      <c r="H52" s="19">
        <v>12.67</v>
      </c>
      <c r="I52" s="20">
        <v>0.08</v>
      </c>
      <c r="J52" s="19">
        <v>256.44</v>
      </c>
    </row>
    <row r="53" spans="1:10" x14ac:dyDescent="0.3">
      <c r="A53">
        <v>52</v>
      </c>
      <c r="B53" s="18">
        <v>46261</v>
      </c>
      <c r="C53" t="s">
        <v>188</v>
      </c>
      <c r="D53" t="s">
        <v>43</v>
      </c>
      <c r="E53" t="s">
        <v>226</v>
      </c>
      <c r="F53" t="s">
        <v>203</v>
      </c>
      <c r="G53">
        <v>45</v>
      </c>
      <c r="H53" s="19">
        <v>79</v>
      </c>
      <c r="I53" s="20">
        <v>7.0000000000000007E-2</v>
      </c>
      <c r="J53" s="19">
        <v>3306.15</v>
      </c>
    </row>
    <row r="54" spans="1:10" x14ac:dyDescent="0.3">
      <c r="A54">
        <v>53</v>
      </c>
      <c r="B54" s="18">
        <v>46054</v>
      </c>
      <c r="C54" t="s">
        <v>185</v>
      </c>
      <c r="D54" t="s">
        <v>57</v>
      </c>
      <c r="E54" t="s">
        <v>227</v>
      </c>
      <c r="F54" t="s">
        <v>186</v>
      </c>
      <c r="G54">
        <v>40</v>
      </c>
      <c r="H54" s="19">
        <v>57.39</v>
      </c>
      <c r="I54" s="20">
        <v>0.11</v>
      </c>
      <c r="J54" s="19">
        <v>2043.08</v>
      </c>
    </row>
    <row r="55" spans="1:10" x14ac:dyDescent="0.3">
      <c r="A55">
        <v>54</v>
      </c>
      <c r="B55" s="18">
        <v>46272</v>
      </c>
      <c r="C55" t="s">
        <v>190</v>
      </c>
      <c r="D55" t="s">
        <v>43</v>
      </c>
      <c r="E55" t="s">
        <v>229</v>
      </c>
      <c r="F55" t="s">
        <v>205</v>
      </c>
      <c r="G55">
        <v>18</v>
      </c>
      <c r="H55" s="19">
        <v>82.02</v>
      </c>
      <c r="I55" s="20">
        <v>0.02</v>
      </c>
      <c r="J55" s="19">
        <v>1446.83</v>
      </c>
    </row>
    <row r="56" spans="1:10" x14ac:dyDescent="0.3">
      <c r="A56">
        <v>55</v>
      </c>
      <c r="B56" s="18">
        <v>46149</v>
      </c>
      <c r="C56" t="s">
        <v>198</v>
      </c>
      <c r="D56" t="s">
        <v>57</v>
      </c>
      <c r="E56" t="s">
        <v>229</v>
      </c>
      <c r="F56" t="s">
        <v>189</v>
      </c>
      <c r="G56">
        <v>21</v>
      </c>
      <c r="H56" s="19">
        <v>145.88999999999999</v>
      </c>
      <c r="I56" s="20">
        <v>7.0000000000000007E-2</v>
      </c>
      <c r="J56" s="19">
        <v>2849.23</v>
      </c>
    </row>
    <row r="57" spans="1:10" x14ac:dyDescent="0.3">
      <c r="A57">
        <v>56</v>
      </c>
      <c r="B57" s="18">
        <v>46280</v>
      </c>
      <c r="C57" t="s">
        <v>192</v>
      </c>
      <c r="D57" t="s">
        <v>43</v>
      </c>
      <c r="E57" t="s">
        <v>227</v>
      </c>
      <c r="F57" t="s">
        <v>205</v>
      </c>
      <c r="G57">
        <v>50</v>
      </c>
      <c r="H57" s="19">
        <v>201.36</v>
      </c>
      <c r="I57" s="20">
        <v>0.1</v>
      </c>
      <c r="J57" s="19">
        <v>9061.2000000000007</v>
      </c>
    </row>
    <row r="58" spans="1:10" x14ac:dyDescent="0.3">
      <c r="A58">
        <v>57</v>
      </c>
      <c r="B58" s="18">
        <v>46158</v>
      </c>
      <c r="C58" t="s">
        <v>185</v>
      </c>
      <c r="D58" t="s">
        <v>228</v>
      </c>
      <c r="E58" t="s">
        <v>227</v>
      </c>
      <c r="F58" t="s">
        <v>195</v>
      </c>
      <c r="G58">
        <v>9</v>
      </c>
      <c r="H58" s="19">
        <v>59.88</v>
      </c>
      <c r="I58" s="20">
        <v>0.02</v>
      </c>
      <c r="J58" s="19">
        <v>528.14</v>
      </c>
    </row>
    <row r="59" spans="1:10" x14ac:dyDescent="0.3">
      <c r="A59">
        <v>58</v>
      </c>
      <c r="B59" s="18">
        <v>46154</v>
      </c>
      <c r="C59" t="s">
        <v>190</v>
      </c>
      <c r="D59" t="s">
        <v>57</v>
      </c>
      <c r="E59" t="s">
        <v>226</v>
      </c>
      <c r="F59" t="s">
        <v>205</v>
      </c>
      <c r="G59">
        <v>31</v>
      </c>
      <c r="H59" s="19">
        <v>33.159999999999997</v>
      </c>
      <c r="I59" s="20">
        <v>0.03</v>
      </c>
      <c r="J59" s="19">
        <v>997.12</v>
      </c>
    </row>
    <row r="60" spans="1:10" x14ac:dyDescent="0.3">
      <c r="A60">
        <v>59</v>
      </c>
      <c r="B60" s="18">
        <v>46243</v>
      </c>
      <c r="C60" t="s">
        <v>194</v>
      </c>
      <c r="D60" t="s">
        <v>57</v>
      </c>
      <c r="E60" t="s">
        <v>229</v>
      </c>
      <c r="F60" t="s">
        <v>191</v>
      </c>
      <c r="G60">
        <v>15</v>
      </c>
      <c r="H60" s="19">
        <v>206.92</v>
      </c>
      <c r="I60" s="20">
        <v>0.09</v>
      </c>
      <c r="J60" s="19">
        <v>2824.46</v>
      </c>
    </row>
    <row r="61" spans="1:10" x14ac:dyDescent="0.3">
      <c r="A61">
        <v>60</v>
      </c>
      <c r="B61" s="18">
        <v>46212</v>
      </c>
      <c r="C61" t="s">
        <v>190</v>
      </c>
      <c r="D61" t="s">
        <v>55</v>
      </c>
      <c r="E61" t="s">
        <v>229</v>
      </c>
      <c r="F61" t="s">
        <v>191</v>
      </c>
      <c r="G61">
        <v>14</v>
      </c>
      <c r="H61" s="19">
        <v>208.35</v>
      </c>
      <c r="I61" s="20">
        <v>0.14000000000000001</v>
      </c>
      <c r="J61" s="19">
        <v>2508.5300000000002</v>
      </c>
    </row>
    <row r="62" spans="1:10" x14ac:dyDescent="0.3">
      <c r="A62">
        <v>61</v>
      </c>
      <c r="B62" s="18">
        <v>46119</v>
      </c>
      <c r="C62" t="s">
        <v>198</v>
      </c>
      <c r="D62" t="s">
        <v>55</v>
      </c>
      <c r="E62" t="s">
        <v>229</v>
      </c>
      <c r="F62" t="s">
        <v>195</v>
      </c>
      <c r="G62">
        <v>33</v>
      </c>
      <c r="H62" s="19">
        <v>29.81</v>
      </c>
      <c r="I62" s="20">
        <v>0.04</v>
      </c>
      <c r="J62" s="19">
        <v>944.38</v>
      </c>
    </row>
    <row r="63" spans="1:10" x14ac:dyDescent="0.3">
      <c r="A63">
        <v>62</v>
      </c>
      <c r="B63" s="18">
        <v>46306</v>
      </c>
      <c r="C63" t="s">
        <v>188</v>
      </c>
      <c r="D63" t="s">
        <v>228</v>
      </c>
      <c r="E63" t="s">
        <v>227</v>
      </c>
      <c r="F63" t="s">
        <v>189</v>
      </c>
      <c r="G63">
        <v>21</v>
      </c>
      <c r="H63" s="19">
        <v>235.93</v>
      </c>
      <c r="I63" s="20">
        <v>0.06</v>
      </c>
      <c r="J63" s="19">
        <v>4657.26</v>
      </c>
    </row>
    <row r="64" spans="1:10" x14ac:dyDescent="0.3">
      <c r="A64">
        <v>63</v>
      </c>
      <c r="B64" s="18">
        <v>46109</v>
      </c>
      <c r="C64" t="s">
        <v>188</v>
      </c>
      <c r="D64" t="s">
        <v>230</v>
      </c>
      <c r="E64" t="s">
        <v>229</v>
      </c>
      <c r="F64" t="s">
        <v>203</v>
      </c>
      <c r="G64">
        <v>45</v>
      </c>
      <c r="H64" s="19">
        <v>238.12</v>
      </c>
      <c r="I64" s="20">
        <v>0</v>
      </c>
      <c r="J64" s="19">
        <v>10715.4</v>
      </c>
    </row>
    <row r="65" spans="1:10" x14ac:dyDescent="0.3">
      <c r="A65">
        <v>64</v>
      </c>
      <c r="B65" s="18">
        <v>46163</v>
      </c>
      <c r="C65" t="s">
        <v>190</v>
      </c>
      <c r="D65" t="s">
        <v>43</v>
      </c>
      <c r="E65" t="s">
        <v>227</v>
      </c>
      <c r="F65" t="s">
        <v>189</v>
      </c>
      <c r="G65">
        <v>6</v>
      </c>
      <c r="H65" s="19">
        <v>206.38</v>
      </c>
      <c r="I65" s="20">
        <v>0.1</v>
      </c>
      <c r="J65" s="19">
        <v>1114.45</v>
      </c>
    </row>
    <row r="66" spans="1:10" x14ac:dyDescent="0.3">
      <c r="A66">
        <v>65</v>
      </c>
      <c r="B66" s="18">
        <v>46209</v>
      </c>
      <c r="C66" t="s">
        <v>196</v>
      </c>
      <c r="D66" t="s">
        <v>57</v>
      </c>
      <c r="E66" t="s">
        <v>226</v>
      </c>
      <c r="F66" t="s">
        <v>203</v>
      </c>
      <c r="G66">
        <v>35</v>
      </c>
      <c r="H66" s="19">
        <v>62.65</v>
      </c>
      <c r="I66" s="20">
        <v>0.13</v>
      </c>
      <c r="J66" s="19">
        <v>1907.69</v>
      </c>
    </row>
    <row r="67" spans="1:10" x14ac:dyDescent="0.3">
      <c r="A67">
        <v>66</v>
      </c>
      <c r="B67" s="18">
        <v>46297</v>
      </c>
      <c r="C67" t="s">
        <v>190</v>
      </c>
      <c r="D67" t="s">
        <v>43</v>
      </c>
      <c r="E67" t="s">
        <v>229</v>
      </c>
      <c r="F67" t="s">
        <v>197</v>
      </c>
      <c r="G67">
        <v>46</v>
      </c>
      <c r="H67" s="19">
        <v>93.41</v>
      </c>
      <c r="I67" s="20">
        <v>0.08</v>
      </c>
      <c r="J67" s="19">
        <v>3953.11</v>
      </c>
    </row>
    <row r="68" spans="1:10" x14ac:dyDescent="0.3">
      <c r="A68">
        <v>67</v>
      </c>
      <c r="B68" s="18">
        <v>46215</v>
      </c>
      <c r="C68" t="s">
        <v>194</v>
      </c>
      <c r="D68" t="s">
        <v>43</v>
      </c>
      <c r="E68" t="s">
        <v>229</v>
      </c>
      <c r="F68" t="s">
        <v>203</v>
      </c>
      <c r="G68">
        <v>23</v>
      </c>
      <c r="H68" s="19">
        <v>27.86</v>
      </c>
      <c r="I68" s="20">
        <v>0.12</v>
      </c>
      <c r="J68" s="19">
        <v>563.89</v>
      </c>
    </row>
    <row r="69" spans="1:10" x14ac:dyDescent="0.3">
      <c r="A69">
        <v>68</v>
      </c>
      <c r="B69" s="18">
        <v>46273</v>
      </c>
      <c r="C69" t="s">
        <v>193</v>
      </c>
      <c r="D69" t="s">
        <v>230</v>
      </c>
      <c r="E69" t="s">
        <v>226</v>
      </c>
      <c r="F69" t="s">
        <v>197</v>
      </c>
      <c r="G69">
        <v>29</v>
      </c>
      <c r="H69" s="19">
        <v>21.73</v>
      </c>
      <c r="I69" s="20">
        <v>0.12</v>
      </c>
      <c r="J69" s="19">
        <v>554.54999999999995</v>
      </c>
    </row>
    <row r="70" spans="1:10" x14ac:dyDescent="0.3">
      <c r="A70">
        <v>69</v>
      </c>
      <c r="B70" s="18">
        <v>46201</v>
      </c>
      <c r="C70" t="s">
        <v>198</v>
      </c>
      <c r="D70" t="s">
        <v>228</v>
      </c>
      <c r="E70" t="s">
        <v>227</v>
      </c>
      <c r="F70" t="s">
        <v>186</v>
      </c>
      <c r="G70">
        <v>45</v>
      </c>
      <c r="H70" s="19">
        <v>46.54</v>
      </c>
      <c r="I70" s="20">
        <v>0.13</v>
      </c>
      <c r="J70" s="19">
        <v>1822.04</v>
      </c>
    </row>
    <row r="71" spans="1:10" x14ac:dyDescent="0.3">
      <c r="A71">
        <v>70</v>
      </c>
      <c r="B71" s="18">
        <v>46283</v>
      </c>
      <c r="C71" t="s">
        <v>192</v>
      </c>
      <c r="D71" t="s">
        <v>230</v>
      </c>
      <c r="E71" t="s">
        <v>229</v>
      </c>
      <c r="F71" t="s">
        <v>186</v>
      </c>
      <c r="G71">
        <v>26</v>
      </c>
      <c r="H71" s="19">
        <v>180.84</v>
      </c>
      <c r="I71" s="20">
        <v>0.04</v>
      </c>
      <c r="J71" s="19">
        <v>4513.7700000000004</v>
      </c>
    </row>
    <row r="72" spans="1:10" x14ac:dyDescent="0.3">
      <c r="A72">
        <v>71</v>
      </c>
      <c r="B72" s="18">
        <v>46039</v>
      </c>
      <c r="C72" t="s">
        <v>190</v>
      </c>
      <c r="D72" t="s">
        <v>50</v>
      </c>
      <c r="E72" t="s">
        <v>229</v>
      </c>
      <c r="F72" t="s">
        <v>191</v>
      </c>
      <c r="G72">
        <v>14</v>
      </c>
      <c r="H72" s="19">
        <v>5.1100000000000003</v>
      </c>
      <c r="I72" s="20">
        <v>0.15</v>
      </c>
      <c r="J72" s="19">
        <v>60.81</v>
      </c>
    </row>
    <row r="73" spans="1:10" x14ac:dyDescent="0.3">
      <c r="A73">
        <v>72</v>
      </c>
      <c r="B73" s="18">
        <v>46318</v>
      </c>
      <c r="C73" t="s">
        <v>193</v>
      </c>
      <c r="D73" t="s">
        <v>47</v>
      </c>
      <c r="E73" t="s">
        <v>227</v>
      </c>
      <c r="F73" t="s">
        <v>189</v>
      </c>
      <c r="G73">
        <v>40</v>
      </c>
      <c r="H73" s="19">
        <v>36.159999999999997</v>
      </c>
      <c r="I73" s="20">
        <v>0.12</v>
      </c>
      <c r="J73" s="19">
        <v>1272.83</v>
      </c>
    </row>
    <row r="74" spans="1:10" x14ac:dyDescent="0.3">
      <c r="A74">
        <v>73</v>
      </c>
      <c r="B74" s="18">
        <v>46184</v>
      </c>
      <c r="C74" t="s">
        <v>192</v>
      </c>
      <c r="D74" t="s">
        <v>57</v>
      </c>
      <c r="E74" t="s">
        <v>227</v>
      </c>
      <c r="F74" t="s">
        <v>191</v>
      </c>
      <c r="G74">
        <v>36</v>
      </c>
      <c r="H74" s="19">
        <v>209.62</v>
      </c>
      <c r="I74" s="20">
        <v>0.12</v>
      </c>
      <c r="J74" s="19">
        <v>6640.76</v>
      </c>
    </row>
    <row r="75" spans="1:10" x14ac:dyDescent="0.3">
      <c r="A75">
        <v>74</v>
      </c>
      <c r="B75" s="18">
        <v>46158</v>
      </c>
      <c r="C75" t="s">
        <v>194</v>
      </c>
      <c r="D75" t="s">
        <v>228</v>
      </c>
      <c r="E75" t="s">
        <v>226</v>
      </c>
      <c r="F75" t="s">
        <v>203</v>
      </c>
      <c r="G75">
        <v>6</v>
      </c>
      <c r="H75" s="19">
        <v>152.26</v>
      </c>
      <c r="I75" s="20">
        <v>0.14000000000000001</v>
      </c>
      <c r="J75" s="19">
        <v>785.66</v>
      </c>
    </row>
    <row r="76" spans="1:10" x14ac:dyDescent="0.3">
      <c r="A76">
        <v>75</v>
      </c>
      <c r="B76" s="18">
        <v>46199</v>
      </c>
      <c r="C76" t="s">
        <v>198</v>
      </c>
      <c r="D76" t="s">
        <v>55</v>
      </c>
      <c r="E76" t="s">
        <v>226</v>
      </c>
      <c r="F76" t="s">
        <v>195</v>
      </c>
      <c r="G76">
        <v>48</v>
      </c>
      <c r="H76" s="19">
        <v>154.13999999999999</v>
      </c>
      <c r="I76" s="20">
        <v>0.02</v>
      </c>
      <c r="J76" s="19">
        <v>7250.75</v>
      </c>
    </row>
    <row r="77" spans="1:10" x14ac:dyDescent="0.3">
      <c r="A77">
        <v>76</v>
      </c>
      <c r="B77" s="18">
        <v>46268</v>
      </c>
      <c r="C77" t="s">
        <v>188</v>
      </c>
      <c r="D77" t="s">
        <v>230</v>
      </c>
      <c r="E77" t="s">
        <v>226</v>
      </c>
      <c r="F77" t="s">
        <v>195</v>
      </c>
      <c r="G77">
        <v>46</v>
      </c>
      <c r="H77" s="19">
        <v>104.68</v>
      </c>
      <c r="I77" s="20">
        <v>0.09</v>
      </c>
      <c r="J77" s="19">
        <v>4381.8999999999996</v>
      </c>
    </row>
    <row r="78" spans="1:10" x14ac:dyDescent="0.3">
      <c r="A78">
        <v>77</v>
      </c>
      <c r="B78" s="18">
        <v>46280</v>
      </c>
      <c r="C78" t="s">
        <v>192</v>
      </c>
      <c r="D78" t="s">
        <v>230</v>
      </c>
      <c r="E78" t="s">
        <v>226</v>
      </c>
      <c r="F78" t="s">
        <v>195</v>
      </c>
      <c r="G78">
        <v>29</v>
      </c>
      <c r="H78" s="19">
        <v>94.26</v>
      </c>
      <c r="I78" s="20">
        <v>0.13</v>
      </c>
      <c r="J78" s="19">
        <v>2378.1799999999998</v>
      </c>
    </row>
    <row r="79" spans="1:10" x14ac:dyDescent="0.3">
      <c r="A79">
        <v>78</v>
      </c>
      <c r="B79" s="18">
        <v>46220</v>
      </c>
      <c r="C79" t="s">
        <v>193</v>
      </c>
      <c r="D79" t="s">
        <v>228</v>
      </c>
      <c r="E79" t="s">
        <v>227</v>
      </c>
      <c r="F79" t="s">
        <v>204</v>
      </c>
      <c r="G79">
        <v>4</v>
      </c>
      <c r="H79" s="19">
        <v>85.35</v>
      </c>
      <c r="I79" s="20">
        <v>0.11</v>
      </c>
      <c r="J79" s="19">
        <v>303.85000000000002</v>
      </c>
    </row>
    <row r="80" spans="1:10" x14ac:dyDescent="0.3">
      <c r="A80">
        <v>79</v>
      </c>
      <c r="B80" s="18">
        <v>46272</v>
      </c>
      <c r="C80" t="s">
        <v>188</v>
      </c>
      <c r="D80" t="s">
        <v>43</v>
      </c>
      <c r="E80" t="s">
        <v>229</v>
      </c>
      <c r="F80" t="s">
        <v>186</v>
      </c>
      <c r="G80">
        <v>22</v>
      </c>
      <c r="H80" s="19">
        <v>63.42</v>
      </c>
      <c r="I80" s="20">
        <v>0.12</v>
      </c>
      <c r="J80" s="19">
        <v>1227.81</v>
      </c>
    </row>
    <row r="81" spans="1:10" x14ac:dyDescent="0.3">
      <c r="A81">
        <v>80</v>
      </c>
      <c r="B81" s="18">
        <v>46107</v>
      </c>
      <c r="C81" t="s">
        <v>198</v>
      </c>
      <c r="D81" t="s">
        <v>43</v>
      </c>
      <c r="E81" t="s">
        <v>227</v>
      </c>
      <c r="F81" t="s">
        <v>195</v>
      </c>
      <c r="G81">
        <v>30</v>
      </c>
      <c r="H81" s="19">
        <v>13.75</v>
      </c>
      <c r="I81" s="20">
        <v>0.11</v>
      </c>
      <c r="J81" s="19">
        <v>367.12</v>
      </c>
    </row>
    <row r="82" spans="1:10" x14ac:dyDescent="0.3">
      <c r="A82">
        <v>81</v>
      </c>
      <c r="B82" s="18">
        <v>46113</v>
      </c>
      <c r="C82" t="s">
        <v>193</v>
      </c>
      <c r="D82" t="s">
        <v>55</v>
      </c>
      <c r="E82" t="s">
        <v>229</v>
      </c>
      <c r="F82" t="s">
        <v>204</v>
      </c>
      <c r="G82">
        <v>11</v>
      </c>
      <c r="H82" s="19">
        <v>114.36</v>
      </c>
      <c r="I82" s="20">
        <v>0.03</v>
      </c>
      <c r="J82" s="19">
        <v>1220.22</v>
      </c>
    </row>
    <row r="83" spans="1:10" x14ac:dyDescent="0.3">
      <c r="A83">
        <v>82</v>
      </c>
      <c r="B83" s="18">
        <v>46212</v>
      </c>
      <c r="C83" t="s">
        <v>194</v>
      </c>
      <c r="D83" t="s">
        <v>228</v>
      </c>
      <c r="E83" t="s">
        <v>229</v>
      </c>
      <c r="F83" t="s">
        <v>205</v>
      </c>
      <c r="G83">
        <v>19</v>
      </c>
      <c r="H83" s="19">
        <v>243.37</v>
      </c>
      <c r="I83" s="20">
        <v>0.06</v>
      </c>
      <c r="J83" s="19">
        <v>4346.59</v>
      </c>
    </row>
    <row r="84" spans="1:10" x14ac:dyDescent="0.3">
      <c r="A84">
        <v>83</v>
      </c>
      <c r="B84" s="18">
        <v>46290</v>
      </c>
      <c r="C84" t="s">
        <v>193</v>
      </c>
      <c r="D84" t="s">
        <v>228</v>
      </c>
      <c r="E84" t="s">
        <v>229</v>
      </c>
      <c r="F84" t="s">
        <v>189</v>
      </c>
      <c r="G84">
        <v>3</v>
      </c>
      <c r="H84" s="19">
        <v>76.040000000000006</v>
      </c>
      <c r="I84" s="20">
        <v>0.1</v>
      </c>
      <c r="J84" s="19">
        <v>205.31</v>
      </c>
    </row>
    <row r="85" spans="1:10" x14ac:dyDescent="0.3">
      <c r="A85">
        <v>84</v>
      </c>
      <c r="B85" s="18">
        <v>46240</v>
      </c>
      <c r="C85" t="s">
        <v>196</v>
      </c>
      <c r="D85" t="s">
        <v>230</v>
      </c>
      <c r="E85" t="s">
        <v>227</v>
      </c>
      <c r="F85" t="s">
        <v>186</v>
      </c>
      <c r="G85">
        <v>11</v>
      </c>
      <c r="H85" s="19">
        <v>87.22</v>
      </c>
      <c r="I85" s="20">
        <v>0.15</v>
      </c>
      <c r="J85" s="19">
        <v>815.51</v>
      </c>
    </row>
    <row r="86" spans="1:10" x14ac:dyDescent="0.3">
      <c r="A86">
        <v>85</v>
      </c>
      <c r="B86" s="18">
        <v>46178</v>
      </c>
      <c r="C86" t="s">
        <v>185</v>
      </c>
      <c r="D86" t="s">
        <v>43</v>
      </c>
      <c r="E86" t="s">
        <v>226</v>
      </c>
      <c r="F86" t="s">
        <v>203</v>
      </c>
      <c r="G86">
        <v>31</v>
      </c>
      <c r="H86" s="19">
        <v>102.73</v>
      </c>
      <c r="I86" s="20">
        <v>0.11</v>
      </c>
      <c r="J86" s="19">
        <v>2834.32</v>
      </c>
    </row>
    <row r="87" spans="1:10" x14ac:dyDescent="0.3">
      <c r="A87">
        <v>86</v>
      </c>
      <c r="B87" s="18">
        <v>46195</v>
      </c>
      <c r="C87" t="s">
        <v>190</v>
      </c>
      <c r="D87" t="s">
        <v>43</v>
      </c>
      <c r="E87" t="s">
        <v>229</v>
      </c>
      <c r="F87" t="s">
        <v>203</v>
      </c>
      <c r="G87">
        <v>36</v>
      </c>
      <c r="H87" s="19">
        <v>170.84</v>
      </c>
      <c r="I87" s="20">
        <v>0.11</v>
      </c>
      <c r="J87" s="19">
        <v>5473.71</v>
      </c>
    </row>
    <row r="88" spans="1:10" x14ac:dyDescent="0.3">
      <c r="A88">
        <v>87</v>
      </c>
      <c r="B88" s="18">
        <v>46282</v>
      </c>
      <c r="C88" t="s">
        <v>198</v>
      </c>
      <c r="D88" t="s">
        <v>55</v>
      </c>
      <c r="E88" t="s">
        <v>226</v>
      </c>
      <c r="F88" t="s">
        <v>195</v>
      </c>
      <c r="G88">
        <v>34</v>
      </c>
      <c r="H88" s="19">
        <v>58.72</v>
      </c>
      <c r="I88" s="20">
        <v>0.02</v>
      </c>
      <c r="J88" s="19">
        <v>1956.55</v>
      </c>
    </row>
    <row r="89" spans="1:10" x14ac:dyDescent="0.3">
      <c r="A89">
        <v>88</v>
      </c>
      <c r="B89" s="18">
        <v>46319</v>
      </c>
      <c r="C89" t="s">
        <v>193</v>
      </c>
      <c r="D89" t="s">
        <v>43</v>
      </c>
      <c r="E89" t="s">
        <v>227</v>
      </c>
      <c r="F89" t="s">
        <v>197</v>
      </c>
      <c r="G89">
        <v>39</v>
      </c>
      <c r="H89" s="19">
        <v>28.44</v>
      </c>
      <c r="I89" s="20">
        <v>0.14000000000000001</v>
      </c>
      <c r="J89" s="19">
        <v>953.88</v>
      </c>
    </row>
    <row r="90" spans="1:10" x14ac:dyDescent="0.3">
      <c r="A90">
        <v>89</v>
      </c>
      <c r="B90" s="18">
        <v>46245</v>
      </c>
      <c r="C90" t="s">
        <v>188</v>
      </c>
      <c r="D90" t="s">
        <v>230</v>
      </c>
      <c r="E90" t="s">
        <v>227</v>
      </c>
      <c r="F90" t="s">
        <v>197</v>
      </c>
      <c r="G90">
        <v>8</v>
      </c>
      <c r="H90" s="19">
        <v>101.72</v>
      </c>
      <c r="I90" s="20">
        <v>0.06</v>
      </c>
      <c r="J90" s="19">
        <v>764.93</v>
      </c>
    </row>
    <row r="91" spans="1:10" x14ac:dyDescent="0.3">
      <c r="A91">
        <v>90</v>
      </c>
      <c r="B91" s="18">
        <v>46247</v>
      </c>
      <c r="C91" t="s">
        <v>194</v>
      </c>
      <c r="D91" t="s">
        <v>228</v>
      </c>
      <c r="E91" t="s">
        <v>227</v>
      </c>
      <c r="F91" t="s">
        <v>205</v>
      </c>
      <c r="G91">
        <v>33</v>
      </c>
      <c r="H91" s="19">
        <v>63.95</v>
      </c>
      <c r="I91" s="20">
        <v>0.06</v>
      </c>
      <c r="J91" s="19">
        <v>1983.73</v>
      </c>
    </row>
    <row r="92" spans="1:10" x14ac:dyDescent="0.3">
      <c r="A92">
        <v>91</v>
      </c>
      <c r="B92" s="18">
        <v>46317</v>
      </c>
      <c r="C92" t="s">
        <v>185</v>
      </c>
      <c r="D92" t="s">
        <v>43</v>
      </c>
      <c r="E92" t="s">
        <v>226</v>
      </c>
      <c r="F92" t="s">
        <v>205</v>
      </c>
      <c r="G92">
        <v>46</v>
      </c>
      <c r="H92" s="19">
        <v>110.84</v>
      </c>
      <c r="I92" s="20">
        <v>0.01</v>
      </c>
      <c r="J92" s="19">
        <v>5047.6499999999996</v>
      </c>
    </row>
    <row r="93" spans="1:10" x14ac:dyDescent="0.3">
      <c r="A93">
        <v>92</v>
      </c>
      <c r="B93" s="18">
        <v>46147</v>
      </c>
      <c r="C93" t="s">
        <v>192</v>
      </c>
      <c r="D93" t="s">
        <v>43</v>
      </c>
      <c r="E93" t="s">
        <v>227</v>
      </c>
      <c r="F93" t="s">
        <v>204</v>
      </c>
      <c r="G93">
        <v>45</v>
      </c>
      <c r="H93" s="19">
        <v>97.81</v>
      </c>
      <c r="I93" s="20">
        <v>0.03</v>
      </c>
      <c r="J93" s="19">
        <v>4269.41</v>
      </c>
    </row>
    <row r="94" spans="1:10" x14ac:dyDescent="0.3">
      <c r="A94">
        <v>93</v>
      </c>
      <c r="B94" s="18">
        <v>46273</v>
      </c>
      <c r="C94" t="s">
        <v>188</v>
      </c>
      <c r="D94" t="s">
        <v>228</v>
      </c>
      <c r="E94" t="s">
        <v>227</v>
      </c>
      <c r="F94" t="s">
        <v>205</v>
      </c>
      <c r="G94">
        <v>18</v>
      </c>
      <c r="H94" s="19">
        <v>29.78</v>
      </c>
      <c r="I94" s="20">
        <v>0.15</v>
      </c>
      <c r="J94" s="19">
        <v>455.63</v>
      </c>
    </row>
    <row r="95" spans="1:10" x14ac:dyDescent="0.3">
      <c r="A95">
        <v>94</v>
      </c>
      <c r="B95" s="18">
        <v>46250</v>
      </c>
      <c r="C95" t="s">
        <v>192</v>
      </c>
      <c r="D95" t="s">
        <v>50</v>
      </c>
      <c r="E95" t="s">
        <v>226</v>
      </c>
      <c r="F95" t="s">
        <v>195</v>
      </c>
      <c r="G95">
        <v>30</v>
      </c>
      <c r="H95" s="19">
        <v>74.37</v>
      </c>
      <c r="I95" s="20">
        <v>0.1</v>
      </c>
      <c r="J95" s="19">
        <v>2007.99</v>
      </c>
    </row>
    <row r="96" spans="1:10" x14ac:dyDescent="0.3">
      <c r="A96">
        <v>95</v>
      </c>
      <c r="B96" s="18">
        <v>46126</v>
      </c>
      <c r="C96" t="s">
        <v>196</v>
      </c>
      <c r="D96" t="s">
        <v>47</v>
      </c>
      <c r="E96" t="s">
        <v>229</v>
      </c>
      <c r="F96" t="s">
        <v>197</v>
      </c>
      <c r="G96">
        <v>20</v>
      </c>
      <c r="H96" s="19">
        <v>67.95</v>
      </c>
      <c r="I96" s="20">
        <v>0.01</v>
      </c>
      <c r="J96" s="19">
        <v>1345.41</v>
      </c>
    </row>
    <row r="97" spans="1:10" x14ac:dyDescent="0.3">
      <c r="A97">
        <v>96</v>
      </c>
      <c r="B97" s="18">
        <v>46057</v>
      </c>
      <c r="C97" t="s">
        <v>192</v>
      </c>
      <c r="D97" t="s">
        <v>50</v>
      </c>
      <c r="E97" t="s">
        <v>229</v>
      </c>
      <c r="F97" t="s">
        <v>205</v>
      </c>
      <c r="G97">
        <v>35</v>
      </c>
      <c r="H97" s="19">
        <v>50.04</v>
      </c>
      <c r="I97" s="20">
        <v>0.01</v>
      </c>
      <c r="J97" s="19">
        <v>1733.89</v>
      </c>
    </row>
    <row r="98" spans="1:10" x14ac:dyDescent="0.3">
      <c r="A98">
        <v>97</v>
      </c>
      <c r="B98" s="18">
        <v>46143</v>
      </c>
      <c r="C98" t="s">
        <v>194</v>
      </c>
      <c r="D98" t="s">
        <v>55</v>
      </c>
      <c r="E98" t="s">
        <v>229</v>
      </c>
      <c r="F98" t="s">
        <v>203</v>
      </c>
      <c r="G98">
        <v>14</v>
      </c>
      <c r="H98" s="19">
        <v>49.22</v>
      </c>
      <c r="I98" s="20">
        <v>0.06</v>
      </c>
      <c r="J98" s="19">
        <v>647.74</v>
      </c>
    </row>
    <row r="99" spans="1:10" x14ac:dyDescent="0.3">
      <c r="A99">
        <v>98</v>
      </c>
      <c r="B99" s="18">
        <v>46281</v>
      </c>
      <c r="C99" t="s">
        <v>193</v>
      </c>
      <c r="D99" t="s">
        <v>43</v>
      </c>
      <c r="E99" t="s">
        <v>226</v>
      </c>
      <c r="F99" t="s">
        <v>191</v>
      </c>
      <c r="G99">
        <v>17</v>
      </c>
      <c r="H99" s="19">
        <v>175.16</v>
      </c>
      <c r="I99" s="20">
        <v>0.1</v>
      </c>
      <c r="J99" s="19">
        <v>2679.95</v>
      </c>
    </row>
    <row r="100" spans="1:10" x14ac:dyDescent="0.3">
      <c r="A100">
        <v>99</v>
      </c>
      <c r="B100" s="18">
        <v>46068</v>
      </c>
      <c r="C100" t="s">
        <v>192</v>
      </c>
      <c r="D100" t="s">
        <v>43</v>
      </c>
      <c r="E100" t="s">
        <v>227</v>
      </c>
      <c r="F100" t="s">
        <v>203</v>
      </c>
      <c r="G100">
        <v>6</v>
      </c>
      <c r="H100" s="19">
        <v>200.86</v>
      </c>
      <c r="I100" s="20">
        <v>0.13</v>
      </c>
      <c r="J100" s="19">
        <v>1048.49</v>
      </c>
    </row>
    <row r="101" spans="1:10" x14ac:dyDescent="0.3">
      <c r="A101">
        <v>100</v>
      </c>
      <c r="B101" s="18">
        <v>46256</v>
      </c>
      <c r="C101" t="s">
        <v>190</v>
      </c>
      <c r="D101" t="s">
        <v>228</v>
      </c>
      <c r="E101" t="s">
        <v>227</v>
      </c>
      <c r="F101" t="s">
        <v>203</v>
      </c>
      <c r="G101">
        <v>47</v>
      </c>
      <c r="H101" s="19">
        <v>244.37</v>
      </c>
      <c r="I101" s="20">
        <v>0.06</v>
      </c>
      <c r="J101" s="19">
        <v>10796.27</v>
      </c>
    </row>
    <row r="102" spans="1:10" x14ac:dyDescent="0.3">
      <c r="A102">
        <v>101</v>
      </c>
      <c r="B102" s="18">
        <v>46068</v>
      </c>
      <c r="C102" t="s">
        <v>194</v>
      </c>
      <c r="D102" t="s">
        <v>57</v>
      </c>
      <c r="E102" t="s">
        <v>227</v>
      </c>
      <c r="F102" t="s">
        <v>186</v>
      </c>
      <c r="G102">
        <v>47</v>
      </c>
      <c r="H102" s="19">
        <v>106.75</v>
      </c>
      <c r="I102" s="20">
        <v>0.01</v>
      </c>
      <c r="J102" s="19">
        <v>4967.08</v>
      </c>
    </row>
    <row r="103" spans="1:10" x14ac:dyDescent="0.3">
      <c r="A103">
        <v>102</v>
      </c>
      <c r="B103" s="18">
        <v>46058</v>
      </c>
      <c r="C103" t="s">
        <v>193</v>
      </c>
      <c r="D103" t="s">
        <v>47</v>
      </c>
      <c r="E103" t="s">
        <v>229</v>
      </c>
      <c r="F103" t="s">
        <v>204</v>
      </c>
      <c r="G103">
        <v>25</v>
      </c>
      <c r="H103" s="19">
        <v>237.31</v>
      </c>
      <c r="I103" s="20">
        <v>7.0000000000000007E-2</v>
      </c>
      <c r="J103" s="19">
        <v>5517.46</v>
      </c>
    </row>
    <row r="104" spans="1:10" x14ac:dyDescent="0.3">
      <c r="A104">
        <v>103</v>
      </c>
      <c r="B104" s="18">
        <v>46241</v>
      </c>
      <c r="C104" t="s">
        <v>196</v>
      </c>
      <c r="D104" t="s">
        <v>43</v>
      </c>
      <c r="E104" t="s">
        <v>226</v>
      </c>
      <c r="F104" t="s">
        <v>204</v>
      </c>
      <c r="G104">
        <v>26</v>
      </c>
      <c r="H104" s="19">
        <v>225.76</v>
      </c>
      <c r="I104" s="20">
        <v>0.09</v>
      </c>
      <c r="J104" s="19">
        <v>5341.48</v>
      </c>
    </row>
    <row r="105" spans="1:10" x14ac:dyDescent="0.3">
      <c r="A105">
        <v>104</v>
      </c>
      <c r="B105" s="18">
        <v>46066</v>
      </c>
      <c r="C105" t="s">
        <v>188</v>
      </c>
      <c r="D105" t="s">
        <v>57</v>
      </c>
      <c r="E105" t="s">
        <v>229</v>
      </c>
      <c r="F105" t="s">
        <v>189</v>
      </c>
      <c r="G105">
        <v>28</v>
      </c>
      <c r="H105" s="19">
        <v>71.709999999999994</v>
      </c>
      <c r="I105" s="20">
        <v>0.09</v>
      </c>
      <c r="J105" s="19">
        <v>1827.17</v>
      </c>
    </row>
    <row r="106" spans="1:10" x14ac:dyDescent="0.3">
      <c r="A106">
        <v>105</v>
      </c>
      <c r="B106" s="18">
        <v>46072</v>
      </c>
      <c r="C106" t="s">
        <v>194</v>
      </c>
      <c r="D106" t="s">
        <v>230</v>
      </c>
      <c r="E106" t="s">
        <v>226</v>
      </c>
      <c r="F106" t="s">
        <v>195</v>
      </c>
      <c r="G106">
        <v>48</v>
      </c>
      <c r="H106" s="19">
        <v>233.83</v>
      </c>
      <c r="I106" s="20">
        <v>7.0000000000000007E-2</v>
      </c>
      <c r="J106" s="19">
        <v>10438.17</v>
      </c>
    </row>
    <row r="107" spans="1:10" x14ac:dyDescent="0.3">
      <c r="A107">
        <v>106</v>
      </c>
      <c r="B107" s="18">
        <v>46244</v>
      </c>
      <c r="C107" t="s">
        <v>196</v>
      </c>
      <c r="D107" t="s">
        <v>50</v>
      </c>
      <c r="E107" t="s">
        <v>229</v>
      </c>
      <c r="F107" t="s">
        <v>191</v>
      </c>
      <c r="G107">
        <v>23</v>
      </c>
      <c r="H107" s="19">
        <v>184.93</v>
      </c>
      <c r="I107" s="20">
        <v>0.09</v>
      </c>
      <c r="J107" s="19">
        <v>3870.58</v>
      </c>
    </row>
    <row r="108" spans="1:10" x14ac:dyDescent="0.3">
      <c r="A108">
        <v>107</v>
      </c>
      <c r="B108" s="18">
        <v>46031</v>
      </c>
      <c r="C108" t="s">
        <v>188</v>
      </c>
      <c r="D108" t="s">
        <v>230</v>
      </c>
      <c r="E108" t="s">
        <v>226</v>
      </c>
      <c r="F108" t="s">
        <v>191</v>
      </c>
      <c r="G108">
        <v>42</v>
      </c>
      <c r="H108" s="19">
        <v>212.68</v>
      </c>
      <c r="I108" s="20">
        <v>0.14000000000000001</v>
      </c>
      <c r="J108" s="19">
        <v>7682</v>
      </c>
    </row>
    <row r="109" spans="1:10" x14ac:dyDescent="0.3">
      <c r="A109">
        <v>108</v>
      </c>
      <c r="B109" s="18">
        <v>46038</v>
      </c>
      <c r="C109" t="s">
        <v>190</v>
      </c>
      <c r="D109" t="s">
        <v>43</v>
      </c>
      <c r="E109" t="s">
        <v>226</v>
      </c>
      <c r="F109" t="s">
        <v>203</v>
      </c>
      <c r="G109">
        <v>23</v>
      </c>
      <c r="H109" s="19">
        <v>242.58</v>
      </c>
      <c r="I109" s="20">
        <v>0.05</v>
      </c>
      <c r="J109" s="19">
        <v>5300.37</v>
      </c>
    </row>
    <row r="110" spans="1:10" x14ac:dyDescent="0.3">
      <c r="A110">
        <v>109</v>
      </c>
      <c r="B110" s="18">
        <v>46320</v>
      </c>
      <c r="C110" t="s">
        <v>188</v>
      </c>
      <c r="D110" t="s">
        <v>57</v>
      </c>
      <c r="E110" t="s">
        <v>227</v>
      </c>
      <c r="F110" t="s">
        <v>191</v>
      </c>
      <c r="G110">
        <v>1</v>
      </c>
      <c r="H110" s="19">
        <v>239.32</v>
      </c>
      <c r="I110" s="20">
        <v>0.05</v>
      </c>
      <c r="J110" s="19">
        <v>227.35</v>
      </c>
    </row>
    <row r="111" spans="1:10" x14ac:dyDescent="0.3">
      <c r="A111">
        <v>110</v>
      </c>
      <c r="B111" s="18">
        <v>46072</v>
      </c>
      <c r="C111" t="s">
        <v>196</v>
      </c>
      <c r="D111" t="s">
        <v>230</v>
      </c>
      <c r="E111" t="s">
        <v>227</v>
      </c>
      <c r="F111" t="s">
        <v>204</v>
      </c>
      <c r="G111">
        <v>16</v>
      </c>
      <c r="H111" s="19">
        <v>136.06</v>
      </c>
      <c r="I111" s="20">
        <v>0.06</v>
      </c>
      <c r="J111" s="19">
        <v>2046.34</v>
      </c>
    </row>
    <row r="112" spans="1:10" x14ac:dyDescent="0.3">
      <c r="A112">
        <v>111</v>
      </c>
      <c r="B112" s="18">
        <v>46124</v>
      </c>
      <c r="C112" t="s">
        <v>185</v>
      </c>
      <c r="D112" t="s">
        <v>47</v>
      </c>
      <c r="E112" t="s">
        <v>226</v>
      </c>
      <c r="F112" t="s">
        <v>197</v>
      </c>
      <c r="G112">
        <v>19</v>
      </c>
      <c r="H112" s="19">
        <v>120.43</v>
      </c>
      <c r="I112" s="20">
        <v>0.08</v>
      </c>
      <c r="J112" s="19">
        <v>2105.12</v>
      </c>
    </row>
    <row r="113" spans="1:10" x14ac:dyDescent="0.3">
      <c r="A113">
        <v>112</v>
      </c>
      <c r="B113" s="18">
        <v>46248</v>
      </c>
      <c r="C113" t="s">
        <v>185</v>
      </c>
      <c r="D113" t="s">
        <v>47</v>
      </c>
      <c r="E113" t="s">
        <v>229</v>
      </c>
      <c r="F113" t="s">
        <v>205</v>
      </c>
      <c r="G113">
        <v>22</v>
      </c>
      <c r="H113" s="19">
        <v>15.86</v>
      </c>
      <c r="I113" s="20">
        <v>0.14000000000000001</v>
      </c>
      <c r="J113" s="19">
        <v>300.07</v>
      </c>
    </row>
    <row r="114" spans="1:10" x14ac:dyDescent="0.3">
      <c r="A114">
        <v>113</v>
      </c>
      <c r="B114" s="18">
        <v>46317</v>
      </c>
      <c r="C114" t="s">
        <v>188</v>
      </c>
      <c r="D114" t="s">
        <v>47</v>
      </c>
      <c r="E114" t="s">
        <v>226</v>
      </c>
      <c r="F114" t="s">
        <v>189</v>
      </c>
      <c r="G114">
        <v>26</v>
      </c>
      <c r="H114" s="19">
        <v>46.26</v>
      </c>
      <c r="I114" s="20">
        <v>0.1</v>
      </c>
      <c r="J114" s="19">
        <v>1082.48</v>
      </c>
    </row>
    <row r="115" spans="1:10" x14ac:dyDescent="0.3">
      <c r="A115">
        <v>114</v>
      </c>
      <c r="B115" s="18">
        <v>46226</v>
      </c>
      <c r="C115" t="s">
        <v>190</v>
      </c>
      <c r="D115" t="s">
        <v>228</v>
      </c>
      <c r="E115" t="s">
        <v>226</v>
      </c>
      <c r="F115" t="s">
        <v>186</v>
      </c>
      <c r="G115">
        <v>8</v>
      </c>
      <c r="H115" s="19">
        <v>167.13</v>
      </c>
      <c r="I115" s="20">
        <v>0.12</v>
      </c>
      <c r="J115" s="19">
        <v>1176.5999999999999</v>
      </c>
    </row>
    <row r="116" spans="1:10" x14ac:dyDescent="0.3">
      <c r="A116">
        <v>115</v>
      </c>
      <c r="B116" s="18">
        <v>46037</v>
      </c>
      <c r="C116" t="s">
        <v>188</v>
      </c>
      <c r="D116" t="s">
        <v>228</v>
      </c>
      <c r="E116" t="s">
        <v>227</v>
      </c>
      <c r="F116" t="s">
        <v>191</v>
      </c>
      <c r="G116">
        <v>37</v>
      </c>
      <c r="H116" s="19">
        <v>170.06</v>
      </c>
      <c r="I116" s="20">
        <v>0.02</v>
      </c>
      <c r="J116" s="19">
        <v>6166.38</v>
      </c>
    </row>
    <row r="117" spans="1:10" x14ac:dyDescent="0.3">
      <c r="A117">
        <v>116</v>
      </c>
      <c r="B117" s="18">
        <v>46165</v>
      </c>
      <c r="C117" t="s">
        <v>198</v>
      </c>
      <c r="D117" t="s">
        <v>50</v>
      </c>
      <c r="E117" t="s">
        <v>229</v>
      </c>
      <c r="F117" t="s">
        <v>186</v>
      </c>
      <c r="G117">
        <v>42</v>
      </c>
      <c r="H117" s="19">
        <v>88.93</v>
      </c>
      <c r="I117" s="20">
        <v>0</v>
      </c>
      <c r="J117" s="19">
        <v>3735.06</v>
      </c>
    </row>
    <row r="118" spans="1:10" x14ac:dyDescent="0.3">
      <c r="A118">
        <v>117</v>
      </c>
      <c r="B118" s="18">
        <v>46150</v>
      </c>
      <c r="C118" t="s">
        <v>198</v>
      </c>
      <c r="D118" t="s">
        <v>230</v>
      </c>
      <c r="E118" t="s">
        <v>226</v>
      </c>
      <c r="F118" t="s">
        <v>205</v>
      </c>
      <c r="G118">
        <v>28</v>
      </c>
      <c r="H118" s="19">
        <v>204.57</v>
      </c>
      <c r="I118" s="20">
        <v>0.04</v>
      </c>
      <c r="J118" s="19">
        <v>5498.84</v>
      </c>
    </row>
    <row r="119" spans="1:10" x14ac:dyDescent="0.3">
      <c r="A119">
        <v>118</v>
      </c>
      <c r="B119" s="18">
        <v>46149</v>
      </c>
      <c r="C119" t="s">
        <v>185</v>
      </c>
      <c r="D119" t="s">
        <v>57</v>
      </c>
      <c r="E119" t="s">
        <v>227</v>
      </c>
      <c r="F119" t="s">
        <v>186</v>
      </c>
      <c r="G119">
        <v>6</v>
      </c>
      <c r="H119" s="19">
        <v>104.33</v>
      </c>
      <c r="I119" s="20">
        <v>0.08</v>
      </c>
      <c r="J119" s="19">
        <v>575.9</v>
      </c>
    </row>
    <row r="120" spans="1:10" x14ac:dyDescent="0.3">
      <c r="A120">
        <v>119</v>
      </c>
      <c r="B120" s="18">
        <v>46315</v>
      </c>
      <c r="C120" t="s">
        <v>198</v>
      </c>
      <c r="D120" t="s">
        <v>43</v>
      </c>
      <c r="E120" t="s">
        <v>226</v>
      </c>
      <c r="F120" t="s">
        <v>189</v>
      </c>
      <c r="G120">
        <v>49</v>
      </c>
      <c r="H120" s="19">
        <v>178.12</v>
      </c>
      <c r="I120" s="20">
        <v>7.0000000000000007E-2</v>
      </c>
      <c r="J120" s="19">
        <v>8116.93</v>
      </c>
    </row>
    <row r="121" spans="1:10" x14ac:dyDescent="0.3">
      <c r="A121">
        <v>120</v>
      </c>
      <c r="B121" s="18">
        <v>46084</v>
      </c>
      <c r="C121" t="s">
        <v>193</v>
      </c>
      <c r="D121" t="s">
        <v>228</v>
      </c>
      <c r="E121" t="s">
        <v>226</v>
      </c>
      <c r="F121" t="s">
        <v>189</v>
      </c>
      <c r="G121">
        <v>4</v>
      </c>
      <c r="H121" s="19">
        <v>62.78</v>
      </c>
      <c r="I121" s="20">
        <v>0.05</v>
      </c>
      <c r="J121" s="19">
        <v>238.56</v>
      </c>
    </row>
    <row r="122" spans="1:10" x14ac:dyDescent="0.3">
      <c r="A122">
        <v>121</v>
      </c>
      <c r="B122" s="18">
        <v>46091</v>
      </c>
      <c r="C122" t="s">
        <v>188</v>
      </c>
      <c r="D122" t="s">
        <v>55</v>
      </c>
      <c r="E122" t="s">
        <v>227</v>
      </c>
      <c r="F122" t="s">
        <v>203</v>
      </c>
      <c r="G122">
        <v>13</v>
      </c>
      <c r="H122" s="19">
        <v>14.13</v>
      </c>
      <c r="I122" s="20">
        <v>0.05</v>
      </c>
      <c r="J122" s="19">
        <v>174.51</v>
      </c>
    </row>
    <row r="123" spans="1:10" x14ac:dyDescent="0.3">
      <c r="A123">
        <v>122</v>
      </c>
      <c r="B123" s="18">
        <v>46109</v>
      </c>
      <c r="C123" t="s">
        <v>188</v>
      </c>
      <c r="D123" t="s">
        <v>57</v>
      </c>
      <c r="E123" t="s">
        <v>226</v>
      </c>
      <c r="F123" t="s">
        <v>205</v>
      </c>
      <c r="G123">
        <v>24</v>
      </c>
      <c r="H123" s="19">
        <v>115.62</v>
      </c>
      <c r="I123" s="20">
        <v>0.08</v>
      </c>
      <c r="J123" s="19">
        <v>2552.89</v>
      </c>
    </row>
    <row r="124" spans="1:10" x14ac:dyDescent="0.3">
      <c r="A124">
        <v>123</v>
      </c>
      <c r="B124" s="18">
        <v>46252</v>
      </c>
      <c r="C124" t="s">
        <v>185</v>
      </c>
      <c r="D124" t="s">
        <v>230</v>
      </c>
      <c r="E124" t="s">
        <v>226</v>
      </c>
      <c r="F124" t="s">
        <v>189</v>
      </c>
      <c r="G124">
        <v>1</v>
      </c>
      <c r="H124" s="19">
        <v>128.66</v>
      </c>
      <c r="I124" s="20">
        <v>0.01</v>
      </c>
      <c r="J124" s="19">
        <v>127.37</v>
      </c>
    </row>
    <row r="125" spans="1:10" x14ac:dyDescent="0.3">
      <c r="A125">
        <v>124</v>
      </c>
      <c r="B125" s="18">
        <v>46117</v>
      </c>
      <c r="C125" t="s">
        <v>193</v>
      </c>
      <c r="D125" t="s">
        <v>55</v>
      </c>
      <c r="E125" t="s">
        <v>226</v>
      </c>
      <c r="F125" t="s">
        <v>195</v>
      </c>
      <c r="G125">
        <v>4</v>
      </c>
      <c r="H125" s="19">
        <v>110.46</v>
      </c>
      <c r="I125" s="20">
        <v>0.12</v>
      </c>
      <c r="J125" s="19">
        <v>388.82</v>
      </c>
    </row>
    <row r="126" spans="1:10" x14ac:dyDescent="0.3">
      <c r="A126">
        <v>125</v>
      </c>
      <c r="B126" s="18">
        <v>46262</v>
      </c>
      <c r="C126" t="s">
        <v>188</v>
      </c>
      <c r="D126" t="s">
        <v>230</v>
      </c>
      <c r="E126" t="s">
        <v>229</v>
      </c>
      <c r="F126" t="s">
        <v>195</v>
      </c>
      <c r="G126">
        <v>32</v>
      </c>
      <c r="H126" s="19">
        <v>196.29</v>
      </c>
      <c r="I126" s="20">
        <v>0.02</v>
      </c>
      <c r="J126" s="19">
        <v>6155.65</v>
      </c>
    </row>
    <row r="127" spans="1:10" x14ac:dyDescent="0.3">
      <c r="A127">
        <v>126</v>
      </c>
      <c r="B127" s="18">
        <v>46288</v>
      </c>
      <c r="C127" t="s">
        <v>188</v>
      </c>
      <c r="D127" t="s">
        <v>57</v>
      </c>
      <c r="E127" t="s">
        <v>226</v>
      </c>
      <c r="F127" t="s">
        <v>186</v>
      </c>
      <c r="G127">
        <v>3</v>
      </c>
      <c r="H127" s="19">
        <v>173.81</v>
      </c>
      <c r="I127" s="20">
        <v>0.05</v>
      </c>
      <c r="J127" s="19">
        <v>495.36</v>
      </c>
    </row>
    <row r="128" spans="1:10" x14ac:dyDescent="0.3">
      <c r="A128">
        <v>127</v>
      </c>
      <c r="B128" s="18">
        <v>46119</v>
      </c>
      <c r="C128" t="s">
        <v>185</v>
      </c>
      <c r="D128" t="s">
        <v>43</v>
      </c>
      <c r="E128" t="s">
        <v>229</v>
      </c>
      <c r="F128" t="s">
        <v>189</v>
      </c>
      <c r="G128">
        <v>17</v>
      </c>
      <c r="H128" s="19">
        <v>195.83</v>
      </c>
      <c r="I128" s="20">
        <v>0.05</v>
      </c>
      <c r="J128" s="19">
        <v>3162.65</v>
      </c>
    </row>
    <row r="129" spans="1:10" x14ac:dyDescent="0.3">
      <c r="A129">
        <v>128</v>
      </c>
      <c r="B129" s="18">
        <v>46119</v>
      </c>
      <c r="C129" t="s">
        <v>188</v>
      </c>
      <c r="D129" t="s">
        <v>43</v>
      </c>
      <c r="E129" t="s">
        <v>229</v>
      </c>
      <c r="F129" t="s">
        <v>197</v>
      </c>
      <c r="G129">
        <v>6</v>
      </c>
      <c r="H129" s="19">
        <v>225.88</v>
      </c>
      <c r="I129" s="20">
        <v>0.01</v>
      </c>
      <c r="J129" s="19">
        <v>1341.73</v>
      </c>
    </row>
    <row r="130" spans="1:10" x14ac:dyDescent="0.3">
      <c r="A130">
        <v>129</v>
      </c>
      <c r="B130" s="18">
        <v>46045</v>
      </c>
      <c r="C130" t="s">
        <v>196</v>
      </c>
      <c r="D130" t="s">
        <v>43</v>
      </c>
      <c r="E130" t="s">
        <v>227</v>
      </c>
      <c r="F130" t="s">
        <v>189</v>
      </c>
      <c r="G130">
        <v>10</v>
      </c>
      <c r="H130" s="19">
        <v>210.11</v>
      </c>
      <c r="I130" s="20">
        <v>0.1</v>
      </c>
      <c r="J130" s="19">
        <v>1890.99</v>
      </c>
    </row>
    <row r="131" spans="1:10" x14ac:dyDescent="0.3">
      <c r="A131">
        <v>130</v>
      </c>
      <c r="B131" s="18">
        <v>46192</v>
      </c>
      <c r="C131" t="s">
        <v>192</v>
      </c>
      <c r="D131" t="s">
        <v>47</v>
      </c>
      <c r="E131" t="s">
        <v>229</v>
      </c>
      <c r="F131" t="s">
        <v>186</v>
      </c>
      <c r="G131">
        <v>22</v>
      </c>
      <c r="H131" s="19">
        <v>246.26</v>
      </c>
      <c r="I131" s="20">
        <v>0</v>
      </c>
      <c r="J131" s="19">
        <v>5417.72</v>
      </c>
    </row>
    <row r="132" spans="1:10" x14ac:dyDescent="0.3">
      <c r="A132">
        <v>131</v>
      </c>
      <c r="B132" s="18">
        <v>46025</v>
      </c>
      <c r="C132" t="s">
        <v>194</v>
      </c>
      <c r="D132" t="s">
        <v>43</v>
      </c>
      <c r="E132" t="s">
        <v>227</v>
      </c>
      <c r="F132" t="s">
        <v>205</v>
      </c>
      <c r="G132">
        <v>27</v>
      </c>
      <c r="H132" s="19">
        <v>20.67</v>
      </c>
      <c r="I132" s="20">
        <v>0.14000000000000001</v>
      </c>
      <c r="J132" s="19">
        <v>479.96</v>
      </c>
    </row>
    <row r="133" spans="1:10" x14ac:dyDescent="0.3">
      <c r="A133">
        <v>132</v>
      </c>
      <c r="B133" s="18">
        <v>46215</v>
      </c>
      <c r="C133" t="s">
        <v>190</v>
      </c>
      <c r="D133" t="s">
        <v>228</v>
      </c>
      <c r="E133" t="s">
        <v>226</v>
      </c>
      <c r="F133" t="s">
        <v>189</v>
      </c>
      <c r="G133">
        <v>13</v>
      </c>
      <c r="H133" s="19">
        <v>168.02</v>
      </c>
      <c r="I133" s="20">
        <v>0.08</v>
      </c>
      <c r="J133" s="19">
        <v>2009.52</v>
      </c>
    </row>
    <row r="134" spans="1:10" x14ac:dyDescent="0.3">
      <c r="A134">
        <v>133</v>
      </c>
      <c r="B134" s="18">
        <v>46062</v>
      </c>
      <c r="C134" t="s">
        <v>196</v>
      </c>
      <c r="D134" t="s">
        <v>47</v>
      </c>
      <c r="E134" t="s">
        <v>229</v>
      </c>
      <c r="F134" t="s">
        <v>197</v>
      </c>
      <c r="G134">
        <v>14</v>
      </c>
      <c r="H134" s="19">
        <v>46.24</v>
      </c>
      <c r="I134" s="20">
        <v>0.14000000000000001</v>
      </c>
      <c r="J134" s="19">
        <v>556.73</v>
      </c>
    </row>
    <row r="135" spans="1:10" x14ac:dyDescent="0.3">
      <c r="A135">
        <v>134</v>
      </c>
      <c r="B135" s="18">
        <v>46290</v>
      </c>
      <c r="C135" t="s">
        <v>192</v>
      </c>
      <c r="D135" t="s">
        <v>47</v>
      </c>
      <c r="E135" t="s">
        <v>229</v>
      </c>
      <c r="F135" t="s">
        <v>205</v>
      </c>
      <c r="G135">
        <v>7</v>
      </c>
      <c r="H135" s="19">
        <v>96.88</v>
      </c>
      <c r="I135" s="20">
        <v>0.12</v>
      </c>
      <c r="J135" s="19">
        <v>596.78</v>
      </c>
    </row>
    <row r="136" spans="1:10" x14ac:dyDescent="0.3">
      <c r="A136">
        <v>135</v>
      </c>
      <c r="B136" s="18">
        <v>46119</v>
      </c>
      <c r="C136" t="s">
        <v>190</v>
      </c>
      <c r="D136" t="s">
        <v>55</v>
      </c>
      <c r="E136" t="s">
        <v>227</v>
      </c>
      <c r="F136" t="s">
        <v>189</v>
      </c>
      <c r="G136">
        <v>3</v>
      </c>
      <c r="H136" s="19">
        <v>241.51</v>
      </c>
      <c r="I136" s="20">
        <v>0.03</v>
      </c>
      <c r="J136" s="19">
        <v>702.79</v>
      </c>
    </row>
    <row r="137" spans="1:10" x14ac:dyDescent="0.3">
      <c r="A137">
        <v>136</v>
      </c>
      <c r="B137" s="18">
        <v>46166</v>
      </c>
      <c r="C137" t="s">
        <v>190</v>
      </c>
      <c r="D137" t="s">
        <v>228</v>
      </c>
      <c r="E137" t="s">
        <v>227</v>
      </c>
      <c r="F137" t="s">
        <v>186</v>
      </c>
      <c r="G137">
        <v>8</v>
      </c>
      <c r="H137" s="19">
        <v>219.75</v>
      </c>
      <c r="I137" s="20">
        <v>0.04</v>
      </c>
      <c r="J137" s="19">
        <v>1687.68</v>
      </c>
    </row>
    <row r="138" spans="1:10" x14ac:dyDescent="0.3">
      <c r="A138">
        <v>137</v>
      </c>
      <c r="B138" s="18">
        <v>46123</v>
      </c>
      <c r="C138" t="s">
        <v>188</v>
      </c>
      <c r="D138" t="s">
        <v>47</v>
      </c>
      <c r="E138" t="s">
        <v>227</v>
      </c>
      <c r="F138" t="s">
        <v>186</v>
      </c>
      <c r="G138">
        <v>7</v>
      </c>
      <c r="H138" s="19">
        <v>8.4499999999999993</v>
      </c>
      <c r="I138" s="20">
        <v>0.12</v>
      </c>
      <c r="J138" s="19">
        <v>52.05</v>
      </c>
    </row>
    <row r="139" spans="1:10" x14ac:dyDescent="0.3">
      <c r="A139">
        <v>138</v>
      </c>
      <c r="B139" s="18">
        <v>46135</v>
      </c>
      <c r="C139" t="s">
        <v>198</v>
      </c>
      <c r="D139" t="s">
        <v>43</v>
      </c>
      <c r="E139" t="s">
        <v>226</v>
      </c>
      <c r="F139" t="s">
        <v>204</v>
      </c>
      <c r="G139">
        <v>8</v>
      </c>
      <c r="H139" s="19">
        <v>243.11</v>
      </c>
      <c r="I139" s="20">
        <v>0.13</v>
      </c>
      <c r="J139" s="19">
        <v>1692.05</v>
      </c>
    </row>
    <row r="140" spans="1:10" x14ac:dyDescent="0.3">
      <c r="A140">
        <v>139</v>
      </c>
      <c r="B140" s="18">
        <v>46180</v>
      </c>
      <c r="C140" t="s">
        <v>193</v>
      </c>
      <c r="D140" t="s">
        <v>55</v>
      </c>
      <c r="E140" t="s">
        <v>227</v>
      </c>
      <c r="F140" t="s">
        <v>203</v>
      </c>
      <c r="G140">
        <v>10</v>
      </c>
      <c r="H140" s="19">
        <v>246.82</v>
      </c>
      <c r="I140" s="20">
        <v>0.13</v>
      </c>
      <c r="J140" s="19">
        <v>2147.33</v>
      </c>
    </row>
    <row r="141" spans="1:10" x14ac:dyDescent="0.3">
      <c r="A141">
        <v>140</v>
      </c>
      <c r="B141" s="18">
        <v>46078</v>
      </c>
      <c r="C141" t="s">
        <v>185</v>
      </c>
      <c r="D141" t="s">
        <v>57</v>
      </c>
      <c r="E141" t="s">
        <v>229</v>
      </c>
      <c r="F141" t="s">
        <v>204</v>
      </c>
      <c r="G141">
        <v>33</v>
      </c>
      <c r="H141" s="19">
        <v>124.15</v>
      </c>
      <c r="I141" s="20">
        <v>0.02</v>
      </c>
      <c r="J141" s="19">
        <v>4015.01</v>
      </c>
    </row>
    <row r="142" spans="1:10" x14ac:dyDescent="0.3">
      <c r="A142">
        <v>141</v>
      </c>
      <c r="B142" s="18">
        <v>46182</v>
      </c>
      <c r="C142" t="s">
        <v>193</v>
      </c>
      <c r="D142" t="s">
        <v>230</v>
      </c>
      <c r="E142" t="s">
        <v>226</v>
      </c>
      <c r="F142" t="s">
        <v>203</v>
      </c>
      <c r="G142">
        <v>27</v>
      </c>
      <c r="H142" s="19">
        <v>117.96</v>
      </c>
      <c r="I142" s="20">
        <v>0.02</v>
      </c>
      <c r="J142" s="19">
        <v>3121.22</v>
      </c>
    </row>
    <row r="143" spans="1:10" x14ac:dyDescent="0.3">
      <c r="A143">
        <v>142</v>
      </c>
      <c r="B143" s="18">
        <v>46231</v>
      </c>
      <c r="C143" t="s">
        <v>185</v>
      </c>
      <c r="D143" t="s">
        <v>230</v>
      </c>
      <c r="E143" t="s">
        <v>229</v>
      </c>
      <c r="F143" t="s">
        <v>189</v>
      </c>
      <c r="G143">
        <v>47</v>
      </c>
      <c r="H143" s="19">
        <v>33.29</v>
      </c>
      <c r="I143" s="20">
        <v>0.14000000000000001</v>
      </c>
      <c r="J143" s="19">
        <v>1345.58</v>
      </c>
    </row>
    <row r="144" spans="1:10" x14ac:dyDescent="0.3">
      <c r="A144">
        <v>143</v>
      </c>
      <c r="B144" s="18">
        <v>46221</v>
      </c>
      <c r="C144" t="s">
        <v>194</v>
      </c>
      <c r="D144" t="s">
        <v>228</v>
      </c>
      <c r="E144" t="s">
        <v>227</v>
      </c>
      <c r="F144" t="s">
        <v>203</v>
      </c>
      <c r="G144">
        <v>36</v>
      </c>
      <c r="H144" s="19">
        <v>158.28</v>
      </c>
      <c r="I144" s="20">
        <v>0.1</v>
      </c>
      <c r="J144" s="19">
        <v>5128.2700000000004</v>
      </c>
    </row>
    <row r="145" spans="1:10" x14ac:dyDescent="0.3">
      <c r="A145">
        <v>144</v>
      </c>
      <c r="B145" s="18">
        <v>46163</v>
      </c>
      <c r="C145" t="s">
        <v>185</v>
      </c>
      <c r="D145" t="s">
        <v>55</v>
      </c>
      <c r="E145" t="s">
        <v>227</v>
      </c>
      <c r="F145" t="s">
        <v>205</v>
      </c>
      <c r="G145">
        <v>4</v>
      </c>
      <c r="H145" s="19">
        <v>132.72999999999999</v>
      </c>
      <c r="I145" s="20">
        <v>0.03</v>
      </c>
      <c r="J145" s="19">
        <v>514.99</v>
      </c>
    </row>
    <row r="146" spans="1:10" x14ac:dyDescent="0.3">
      <c r="A146">
        <v>145</v>
      </c>
      <c r="B146" s="18">
        <v>46042</v>
      </c>
      <c r="C146" t="s">
        <v>192</v>
      </c>
      <c r="D146" t="s">
        <v>47</v>
      </c>
      <c r="E146" t="s">
        <v>226</v>
      </c>
      <c r="F146" t="s">
        <v>191</v>
      </c>
      <c r="G146">
        <v>15</v>
      </c>
      <c r="H146" s="19">
        <v>161.24</v>
      </c>
      <c r="I146" s="20">
        <v>0.09</v>
      </c>
      <c r="J146" s="19">
        <v>2200.9299999999998</v>
      </c>
    </row>
    <row r="147" spans="1:10" x14ac:dyDescent="0.3">
      <c r="A147">
        <v>146</v>
      </c>
      <c r="B147" s="18">
        <v>46298</v>
      </c>
      <c r="C147" t="s">
        <v>185</v>
      </c>
      <c r="D147" t="s">
        <v>55</v>
      </c>
      <c r="E147" t="s">
        <v>229</v>
      </c>
      <c r="F147" t="s">
        <v>205</v>
      </c>
      <c r="G147">
        <v>2</v>
      </c>
      <c r="H147" s="19">
        <v>21.51</v>
      </c>
      <c r="I147" s="20">
        <v>0.04</v>
      </c>
      <c r="J147" s="19">
        <v>41.3</v>
      </c>
    </row>
    <row r="148" spans="1:10" x14ac:dyDescent="0.3">
      <c r="A148">
        <v>147</v>
      </c>
      <c r="B148" s="18">
        <v>46274</v>
      </c>
      <c r="C148" t="s">
        <v>190</v>
      </c>
      <c r="D148" t="s">
        <v>230</v>
      </c>
      <c r="E148" t="s">
        <v>227</v>
      </c>
      <c r="F148" t="s">
        <v>197</v>
      </c>
      <c r="G148">
        <v>50</v>
      </c>
      <c r="H148" s="19">
        <v>235.93</v>
      </c>
      <c r="I148" s="20">
        <v>0.11</v>
      </c>
      <c r="J148" s="19">
        <v>10498.89</v>
      </c>
    </row>
    <row r="149" spans="1:10" x14ac:dyDescent="0.3">
      <c r="A149">
        <v>148</v>
      </c>
      <c r="B149" s="18">
        <v>46298</v>
      </c>
      <c r="C149" t="s">
        <v>193</v>
      </c>
      <c r="D149" t="s">
        <v>228</v>
      </c>
      <c r="E149" t="s">
        <v>226</v>
      </c>
      <c r="F149" t="s">
        <v>195</v>
      </c>
      <c r="G149">
        <v>22</v>
      </c>
      <c r="H149" s="19">
        <v>221.85</v>
      </c>
      <c r="I149" s="20">
        <v>0</v>
      </c>
      <c r="J149" s="19">
        <v>4880.7</v>
      </c>
    </row>
    <row r="150" spans="1:10" x14ac:dyDescent="0.3">
      <c r="A150">
        <v>149</v>
      </c>
      <c r="B150" s="18">
        <v>46299</v>
      </c>
      <c r="C150" t="s">
        <v>196</v>
      </c>
      <c r="D150" t="s">
        <v>228</v>
      </c>
      <c r="E150" t="s">
        <v>229</v>
      </c>
      <c r="F150" t="s">
        <v>197</v>
      </c>
      <c r="G150">
        <v>3</v>
      </c>
      <c r="H150" s="19">
        <v>65.56</v>
      </c>
      <c r="I150" s="20">
        <v>0.04</v>
      </c>
      <c r="J150" s="19">
        <v>188.81</v>
      </c>
    </row>
    <row r="151" spans="1:10" x14ac:dyDescent="0.3">
      <c r="A151">
        <v>150</v>
      </c>
      <c r="B151" s="18">
        <v>46274</v>
      </c>
      <c r="C151" t="s">
        <v>190</v>
      </c>
      <c r="D151" t="s">
        <v>230</v>
      </c>
      <c r="E151" t="s">
        <v>229</v>
      </c>
      <c r="F151" t="s">
        <v>191</v>
      </c>
      <c r="G151">
        <v>3</v>
      </c>
      <c r="H151" s="19">
        <v>188.76</v>
      </c>
      <c r="I151" s="20">
        <v>0.06</v>
      </c>
      <c r="J151" s="19">
        <v>532.29999999999995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E40"/>
  <sheetViews>
    <sheetView showGridLines="0" topLeftCell="A3" workbookViewId="0">
      <selection activeCell="H3" sqref="H3"/>
    </sheetView>
  </sheetViews>
  <sheetFormatPr baseColWidth="10" defaultColWidth="8.88671875" defaultRowHeight="14.4" x14ac:dyDescent="0.3"/>
  <cols>
    <col min="1" max="1" width="8" customWidth="1"/>
    <col min="2" max="2" width="22" customWidth="1"/>
    <col min="3" max="4" width="14" customWidth="1"/>
    <col min="5" max="5" width="40" customWidth="1"/>
  </cols>
  <sheetData>
    <row r="2" spans="1:5" ht="23.4" x14ac:dyDescent="0.45">
      <c r="A2" s="1" t="s">
        <v>231</v>
      </c>
    </row>
    <row r="3" spans="1:5" ht="172.8" x14ac:dyDescent="0.3">
      <c r="A3" s="2" t="s">
        <v>232</v>
      </c>
    </row>
    <row r="5" spans="1:5" x14ac:dyDescent="0.3">
      <c r="A5" s="7" t="s">
        <v>182</v>
      </c>
      <c r="B5" s="7" t="s">
        <v>183</v>
      </c>
      <c r="C5" s="7" t="s">
        <v>184</v>
      </c>
      <c r="D5" s="7" t="s">
        <v>66</v>
      </c>
    </row>
    <row r="6" spans="1:5" x14ac:dyDescent="0.3">
      <c r="A6" s="10">
        <v>1</v>
      </c>
      <c r="B6" s="10" t="s">
        <v>185</v>
      </c>
      <c r="C6" s="10" t="s">
        <v>203</v>
      </c>
      <c r="D6" s="13">
        <v>341.01</v>
      </c>
      <c r="E6" s="2" t="s">
        <v>233</v>
      </c>
    </row>
    <row r="7" spans="1:5" x14ac:dyDescent="0.3">
      <c r="A7" s="10">
        <v>2</v>
      </c>
      <c r="B7" s="10" t="s">
        <v>188</v>
      </c>
      <c r="C7" s="10" t="s">
        <v>205</v>
      </c>
      <c r="D7" s="13">
        <v>144.21</v>
      </c>
      <c r="E7" s="2" t="s">
        <v>234</v>
      </c>
    </row>
    <row r="8" spans="1:5" ht="28.8" x14ac:dyDescent="0.3">
      <c r="A8" s="10">
        <v>3</v>
      </c>
      <c r="B8" s="10" t="s">
        <v>192</v>
      </c>
      <c r="C8" s="10" t="s">
        <v>195</v>
      </c>
      <c r="D8" s="13">
        <v>828.19</v>
      </c>
      <c r="E8" s="2" t="s">
        <v>235</v>
      </c>
    </row>
    <row r="9" spans="1:5" x14ac:dyDescent="0.3">
      <c r="A9" s="10">
        <v>4</v>
      </c>
      <c r="B9" s="10" t="s">
        <v>196</v>
      </c>
      <c r="C9" s="10" t="s">
        <v>186</v>
      </c>
      <c r="D9" s="13">
        <v>1930.2</v>
      </c>
    </row>
    <row r="10" spans="1:5" x14ac:dyDescent="0.3">
      <c r="A10" s="10">
        <v>5</v>
      </c>
      <c r="B10" s="10" t="s">
        <v>193</v>
      </c>
      <c r="C10" s="10" t="s">
        <v>197</v>
      </c>
      <c r="D10" s="13">
        <v>312.64</v>
      </c>
    </row>
    <row r="11" spans="1:5" x14ac:dyDescent="0.3">
      <c r="A11" s="10">
        <v>6</v>
      </c>
      <c r="B11" s="10" t="s">
        <v>185</v>
      </c>
      <c r="C11" s="10" t="s">
        <v>197</v>
      </c>
      <c r="D11" s="13">
        <v>1151.1600000000001</v>
      </c>
    </row>
    <row r="12" spans="1:5" x14ac:dyDescent="0.3">
      <c r="A12" s="10">
        <v>7</v>
      </c>
      <c r="B12" s="10" t="s">
        <v>188</v>
      </c>
      <c r="C12" s="10" t="s">
        <v>203</v>
      </c>
      <c r="D12" s="13">
        <v>1923.15</v>
      </c>
    </row>
    <row r="13" spans="1:5" x14ac:dyDescent="0.3">
      <c r="A13" s="10">
        <v>8</v>
      </c>
      <c r="B13" s="10" t="s">
        <v>193</v>
      </c>
      <c r="C13" s="10" t="s">
        <v>205</v>
      </c>
      <c r="D13" s="13">
        <v>1891.62</v>
      </c>
    </row>
    <row r="14" spans="1:5" x14ac:dyDescent="0.3">
      <c r="A14" s="10">
        <v>9</v>
      </c>
      <c r="B14" s="10" t="s">
        <v>193</v>
      </c>
      <c r="C14" s="10" t="s">
        <v>189</v>
      </c>
      <c r="D14" s="13">
        <v>754.61</v>
      </c>
    </row>
    <row r="15" spans="1:5" x14ac:dyDescent="0.3">
      <c r="A15" s="10">
        <v>10</v>
      </c>
      <c r="B15" s="10" t="s">
        <v>192</v>
      </c>
      <c r="C15" s="10" t="s">
        <v>205</v>
      </c>
      <c r="D15" s="13">
        <v>1249.25</v>
      </c>
    </row>
    <row r="16" spans="1:5" x14ac:dyDescent="0.3">
      <c r="A16" s="10">
        <v>11</v>
      </c>
      <c r="B16" s="10" t="s">
        <v>185</v>
      </c>
      <c r="C16" s="10" t="s">
        <v>197</v>
      </c>
      <c r="D16" s="13">
        <v>282.97000000000003</v>
      </c>
    </row>
    <row r="17" spans="1:4" x14ac:dyDescent="0.3">
      <c r="A17" s="10">
        <v>12</v>
      </c>
      <c r="B17" s="10" t="s">
        <v>190</v>
      </c>
      <c r="C17" s="10" t="s">
        <v>205</v>
      </c>
      <c r="D17" s="13">
        <v>335.33</v>
      </c>
    </row>
    <row r="18" spans="1:4" x14ac:dyDescent="0.3">
      <c r="A18" s="10">
        <v>13</v>
      </c>
      <c r="B18" s="10" t="s">
        <v>188</v>
      </c>
      <c r="C18" s="10" t="s">
        <v>186</v>
      </c>
      <c r="D18" s="13">
        <v>350.02</v>
      </c>
    </row>
    <row r="19" spans="1:4" x14ac:dyDescent="0.3">
      <c r="A19" s="10">
        <v>14</v>
      </c>
      <c r="B19" s="10" t="s">
        <v>198</v>
      </c>
      <c r="C19" s="10" t="s">
        <v>191</v>
      </c>
      <c r="D19" s="13">
        <v>1171.28</v>
      </c>
    </row>
    <row r="20" spans="1:4" x14ac:dyDescent="0.3">
      <c r="A20" s="10">
        <v>15</v>
      </c>
      <c r="B20" s="10" t="s">
        <v>193</v>
      </c>
      <c r="C20" s="10" t="s">
        <v>191</v>
      </c>
      <c r="D20" s="13">
        <v>810.76</v>
      </c>
    </row>
    <row r="21" spans="1:4" x14ac:dyDescent="0.3">
      <c r="A21" s="10">
        <v>16</v>
      </c>
      <c r="B21" s="10" t="s">
        <v>192</v>
      </c>
      <c r="C21" s="10" t="s">
        <v>189</v>
      </c>
      <c r="D21" s="13">
        <v>1592.88</v>
      </c>
    </row>
    <row r="22" spans="1:4" x14ac:dyDescent="0.3">
      <c r="A22" s="10">
        <v>17</v>
      </c>
      <c r="B22" s="10" t="s">
        <v>185</v>
      </c>
      <c r="C22" s="10" t="s">
        <v>195</v>
      </c>
      <c r="D22" s="13">
        <v>1191.72</v>
      </c>
    </row>
    <row r="23" spans="1:4" x14ac:dyDescent="0.3">
      <c r="A23" s="10">
        <v>18</v>
      </c>
      <c r="B23" s="10" t="s">
        <v>193</v>
      </c>
      <c r="C23" s="10" t="s">
        <v>197</v>
      </c>
      <c r="D23" s="13">
        <v>1411.32</v>
      </c>
    </row>
    <row r="24" spans="1:4" x14ac:dyDescent="0.3">
      <c r="A24" s="10">
        <v>19</v>
      </c>
      <c r="B24" s="10" t="s">
        <v>190</v>
      </c>
      <c r="C24" s="10" t="s">
        <v>204</v>
      </c>
      <c r="D24" s="13">
        <v>608.82000000000005</v>
      </c>
    </row>
    <row r="25" spans="1:4" x14ac:dyDescent="0.3">
      <c r="A25" s="10">
        <v>20</v>
      </c>
      <c r="B25" s="10" t="s">
        <v>194</v>
      </c>
      <c r="C25" s="10" t="s">
        <v>197</v>
      </c>
      <c r="D25" s="13">
        <v>1299.25</v>
      </c>
    </row>
    <row r="26" spans="1:4" x14ac:dyDescent="0.3">
      <c r="A26" s="10">
        <v>21</v>
      </c>
      <c r="B26" s="10" t="s">
        <v>185</v>
      </c>
      <c r="C26" s="10" t="s">
        <v>204</v>
      </c>
      <c r="D26" s="13">
        <v>1243.69</v>
      </c>
    </row>
    <row r="27" spans="1:4" x14ac:dyDescent="0.3">
      <c r="A27" s="10">
        <v>22</v>
      </c>
      <c r="B27" s="10" t="s">
        <v>192</v>
      </c>
      <c r="C27" s="10" t="s">
        <v>204</v>
      </c>
      <c r="D27" s="13">
        <v>169.22</v>
      </c>
    </row>
    <row r="28" spans="1:4" x14ac:dyDescent="0.3">
      <c r="A28" s="10">
        <v>23</v>
      </c>
      <c r="B28" s="10" t="s">
        <v>196</v>
      </c>
      <c r="C28" s="10" t="s">
        <v>204</v>
      </c>
      <c r="D28" s="13">
        <v>1560.99</v>
      </c>
    </row>
    <row r="29" spans="1:4" x14ac:dyDescent="0.3">
      <c r="A29" s="10">
        <v>24</v>
      </c>
      <c r="B29" s="10" t="s">
        <v>185</v>
      </c>
      <c r="C29" s="10" t="s">
        <v>195</v>
      </c>
      <c r="D29" s="13">
        <v>434.95</v>
      </c>
    </row>
    <row r="30" spans="1:4" x14ac:dyDescent="0.3">
      <c r="A30" s="10">
        <v>25</v>
      </c>
      <c r="B30" s="10" t="s">
        <v>194</v>
      </c>
      <c r="C30" s="10" t="s">
        <v>204</v>
      </c>
      <c r="D30" s="13">
        <v>1297.3499999999999</v>
      </c>
    </row>
    <row r="31" spans="1:4" x14ac:dyDescent="0.3">
      <c r="A31" s="10">
        <v>26</v>
      </c>
      <c r="B31" s="10" t="s">
        <v>196</v>
      </c>
      <c r="C31" s="10" t="s">
        <v>205</v>
      </c>
      <c r="D31" s="13">
        <v>1189.97</v>
      </c>
    </row>
    <row r="32" spans="1:4" x14ac:dyDescent="0.3">
      <c r="A32" s="10">
        <v>27</v>
      </c>
      <c r="B32" s="10" t="s">
        <v>198</v>
      </c>
      <c r="C32" s="10" t="s">
        <v>189</v>
      </c>
      <c r="D32" s="13">
        <v>972.37</v>
      </c>
    </row>
    <row r="33" spans="1:4" x14ac:dyDescent="0.3">
      <c r="A33" s="10">
        <v>28</v>
      </c>
      <c r="B33" s="10" t="s">
        <v>194</v>
      </c>
      <c r="C33" s="10" t="s">
        <v>204</v>
      </c>
      <c r="D33" s="13">
        <v>660.01</v>
      </c>
    </row>
    <row r="34" spans="1:4" x14ac:dyDescent="0.3">
      <c r="A34" s="10">
        <v>29</v>
      </c>
      <c r="B34" s="10" t="s">
        <v>190</v>
      </c>
      <c r="C34" s="10" t="s">
        <v>189</v>
      </c>
      <c r="D34" s="13">
        <v>1473.82</v>
      </c>
    </row>
    <row r="35" spans="1:4" x14ac:dyDescent="0.3">
      <c r="A35" s="10">
        <v>30</v>
      </c>
      <c r="B35" s="10" t="s">
        <v>188</v>
      </c>
      <c r="C35" s="10" t="s">
        <v>205</v>
      </c>
      <c r="D35" s="13">
        <v>1940.34</v>
      </c>
    </row>
    <row r="36" spans="1:4" x14ac:dyDescent="0.3">
      <c r="A36" s="10">
        <v>31</v>
      </c>
      <c r="B36" s="10" t="s">
        <v>190</v>
      </c>
      <c r="C36" s="10" t="s">
        <v>203</v>
      </c>
      <c r="D36" s="13">
        <v>1658.35</v>
      </c>
    </row>
    <row r="37" spans="1:4" x14ac:dyDescent="0.3">
      <c r="A37" s="10">
        <v>32</v>
      </c>
      <c r="B37" s="10" t="s">
        <v>198</v>
      </c>
      <c r="C37" s="10" t="s">
        <v>203</v>
      </c>
      <c r="D37" s="13">
        <v>1971.04</v>
      </c>
    </row>
    <row r="38" spans="1:4" x14ac:dyDescent="0.3">
      <c r="A38" s="10">
        <v>33</v>
      </c>
      <c r="B38" s="10" t="s">
        <v>193</v>
      </c>
      <c r="C38" s="10" t="s">
        <v>197</v>
      </c>
      <c r="D38" s="13">
        <v>161.19999999999999</v>
      </c>
    </row>
    <row r="39" spans="1:4" x14ac:dyDescent="0.3">
      <c r="A39" s="10">
        <v>34</v>
      </c>
      <c r="B39" s="10" t="s">
        <v>192</v>
      </c>
      <c r="C39" s="10" t="s">
        <v>197</v>
      </c>
      <c r="D39" s="13">
        <v>1871.67</v>
      </c>
    </row>
    <row r="40" spans="1:4" x14ac:dyDescent="0.3">
      <c r="A40" s="10">
        <v>35</v>
      </c>
      <c r="B40" s="10" t="s">
        <v>194</v>
      </c>
      <c r="C40" s="10" t="s">
        <v>203</v>
      </c>
      <c r="D40" s="13">
        <v>618.96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INSTRUCCIONES</vt:lpstr>
      <vt:lpstr>E1_Lista_Rango</vt:lpstr>
      <vt:lpstr>E2_Lista_Texto</vt:lpstr>
      <vt:lpstr>E3_Numeros_Fechas</vt:lpstr>
      <vt:lpstr>E4_Mensajes</vt:lpstr>
      <vt:lpstr>E5_Validacion_Formulas</vt:lpstr>
      <vt:lpstr>E6_Rodear</vt:lpstr>
      <vt:lpstr>E7_Texto_Columnas</vt:lpstr>
      <vt:lpstr>E8_Relleno_Rapido</vt:lpstr>
      <vt:lpstr>E9_Quitar_Duplicados</vt:lpstr>
      <vt:lpstr>Sucursal_Norte</vt:lpstr>
      <vt:lpstr>Sucursal_Sur</vt:lpstr>
      <vt:lpstr>Sucursal_Centro</vt:lpstr>
      <vt:lpstr>E10_Consolidado</vt:lpstr>
      <vt:lpstr>Sucursal_A</vt:lpstr>
      <vt:lpstr>Sucursal_B</vt:lpstr>
      <vt:lpstr>E11_Consolidado_Categoria</vt:lpstr>
      <vt:lpstr>E12_Inmovilizar</vt:lpstr>
      <vt:lpstr>E13_Dividir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lopez</cp:lastModifiedBy>
  <dcterms:created xsi:type="dcterms:W3CDTF">2026-10-31T05:16:05Z</dcterms:created>
  <dcterms:modified xsi:type="dcterms:W3CDTF">2026-10-31T18:41:42Z</dcterms:modified>
</cp:coreProperties>
</file>